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karan\Downloads\"/>
    </mc:Choice>
  </mc:AlternateContent>
  <xr:revisionPtr revIDLastSave="0" documentId="13_ncr:1_{BD127FC6-F697-4570-9376-38D9546A0C1A}" xr6:coauthVersionLast="47" xr6:coauthVersionMax="47" xr10:uidLastSave="{00000000-0000-0000-0000-000000000000}"/>
  <bookViews>
    <workbookView xWindow="-108" yWindow="-108" windowWidth="23256" windowHeight="12456" tabRatio="500" firstSheet="8" activeTab="10" xr2:uid="{00000000-000D-0000-FFFF-FFFF00000000}"/>
  </bookViews>
  <sheets>
    <sheet name="Guide" sheetId="1" r:id="rId1"/>
    <sheet name="Summary" sheetId="2" r:id="rId2"/>
    <sheet name="Inputs" sheetId="3" r:id="rId3"/>
    <sheet name="Term" sheetId="4" r:id="rId4"/>
    <sheet name="Annuity" sheetId="5" r:id="rId5"/>
    <sheet name="Capital" sheetId="6" r:id="rId6"/>
    <sheet name="RA" sheetId="7" r:id="rId7"/>
    <sheet name="Factor method" sheetId="8" r:id="rId8"/>
    <sheet name="Age Bands" sheetId="11" r:id="rId9"/>
    <sheet name="Confidence" sheetId="9" r:id="rId10"/>
    <sheet name="Confidence Factor method" sheetId="10"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3" i="10" l="1"/>
  <c r="F13" i="10" s="1"/>
  <c r="D13" i="10"/>
  <c r="C13" i="10"/>
  <c r="L23" i="11"/>
  <c r="L22" i="11"/>
  <c r="L21" i="11"/>
  <c r="Q6" i="11"/>
  <c r="Q7" i="11"/>
  <c r="Q8" i="11"/>
  <c r="Q9" i="11"/>
  <c r="Q10" i="11"/>
  <c r="Q11" i="11"/>
  <c r="Q12" i="11"/>
  <c r="Q13" i="11"/>
  <c r="Q14" i="11"/>
  <c r="Q15" i="11"/>
  <c r="Q16" i="11"/>
  <c r="Q17" i="11"/>
  <c r="Q18" i="11"/>
  <c r="Q19" i="11"/>
  <c r="Q20" i="11"/>
  <c r="Q21" i="11"/>
  <c r="Q22" i="11"/>
  <c r="Q23" i="11"/>
  <c r="Q24" i="11"/>
  <c r="Q25" i="11"/>
  <c r="Q26" i="11"/>
  <c r="Q27" i="11"/>
  <c r="Q28" i="11"/>
  <c r="Q29" i="11"/>
  <c r="Q30" i="11"/>
  <c r="Q31" i="11"/>
  <c r="Q32" i="11"/>
  <c r="Q33" i="11"/>
  <c r="Q34" i="11"/>
  <c r="Q35" i="11"/>
  <c r="Q36" i="11"/>
  <c r="Q37" i="11"/>
  <c r="Q38" i="11"/>
  <c r="Q39" i="11"/>
  <c r="Q40" i="11"/>
  <c r="Q41" i="11"/>
  <c r="Q42" i="11"/>
  <c r="Q43" i="11"/>
  <c r="Q44" i="11"/>
  <c r="Q45" i="11"/>
  <c r="Q46" i="11"/>
  <c r="Q47" i="11"/>
  <c r="Q48" i="11"/>
  <c r="Q49" i="11"/>
  <c r="Q50" i="11"/>
  <c r="N7" i="11"/>
  <c r="N8" i="11"/>
  <c r="N9" i="11"/>
  <c r="N10" i="11"/>
  <c r="N11" i="11"/>
  <c r="N12" i="11"/>
  <c r="N13" i="11"/>
  <c r="N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6" i="11"/>
  <c r="L20" i="11"/>
  <c r="L19" i="11"/>
  <c r="L18" i="11"/>
  <c r="L17" i="11"/>
  <c r="H7" i="11"/>
  <c r="H8" i="11"/>
  <c r="H9" i="11"/>
  <c r="H10" i="11"/>
  <c r="H11" i="11"/>
  <c r="H12" i="11"/>
  <c r="H13" i="11"/>
  <c r="H14" i="11"/>
  <c r="H15" i="11"/>
  <c r="H16" i="11"/>
  <c r="H17" i="11"/>
  <c r="H18" i="11"/>
  <c r="H19" i="11"/>
  <c r="H20" i="11"/>
  <c r="H21" i="11"/>
  <c r="H22" i="11"/>
  <c r="H23" i="11"/>
  <c r="H24" i="11"/>
  <c r="H25" i="11"/>
  <c r="H26" i="11"/>
  <c r="H27" i="11"/>
  <c r="H28" i="11"/>
  <c r="H29" i="11"/>
  <c r="H30" i="11"/>
  <c r="H31" i="11"/>
  <c r="H32" i="11"/>
  <c r="H33" i="11"/>
  <c r="H34" i="11"/>
  <c r="H35" i="11"/>
  <c r="H36" i="11"/>
  <c r="H37" i="11"/>
  <c r="H38" i="11"/>
  <c r="H39" i="11"/>
  <c r="H40" i="11"/>
  <c r="H41" i="11"/>
  <c r="H42" i="11"/>
  <c r="H43" i="11"/>
  <c r="H44" i="11"/>
  <c r="H45" i="11"/>
  <c r="H46" i="11"/>
  <c r="H47" i="11"/>
  <c r="H48" i="11"/>
  <c r="H49" i="11"/>
  <c r="H50" i="11"/>
  <c r="H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6" i="11"/>
  <c r="F7" i="11"/>
  <c r="F8" i="11"/>
  <c r="F9" i="11"/>
  <c r="F10" i="11"/>
  <c r="F11" i="11"/>
  <c r="F12" i="1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6" i="11"/>
  <c r="M7" i="11"/>
  <c r="M8" i="11"/>
  <c r="M9" i="11"/>
  <c r="M10" i="11"/>
  <c r="M11" i="11"/>
  <c r="M12" i="11"/>
  <c r="M13" i="11"/>
  <c r="M6"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6" i="11"/>
  <c r="C7" i="11"/>
  <c r="C8" i="11"/>
  <c r="C9" i="11"/>
  <c r="C10" i="11"/>
  <c r="C11" i="11"/>
  <c r="C12" i="11"/>
  <c r="C13" i="11"/>
  <c r="C14" i="11"/>
  <c r="C15" i="11"/>
  <c r="C16" i="11"/>
  <c r="C17" i="11"/>
  <c r="C18" i="11"/>
  <c r="C19" i="11"/>
  <c r="C20" i="11"/>
  <c r="C21" i="11"/>
  <c r="C22" i="11"/>
  <c r="C23" i="11"/>
  <c r="C24" i="11"/>
  <c r="C25" i="11"/>
  <c r="C26" i="11"/>
  <c r="C27" i="11"/>
  <c r="C28" i="11"/>
  <c r="C29" i="11"/>
  <c r="C30" i="11"/>
  <c r="C31" i="11"/>
  <c r="C32" i="11"/>
  <c r="C33" i="11"/>
  <c r="C34" i="11"/>
  <c r="C35" i="11"/>
  <c r="C36" i="11"/>
  <c r="C37" i="11"/>
  <c r="C38" i="11"/>
  <c r="C39" i="11"/>
  <c r="C40" i="11"/>
  <c r="C41" i="11"/>
  <c r="C42" i="11"/>
  <c r="C43" i="11"/>
  <c r="C44" i="11"/>
  <c r="C45" i="11"/>
  <c r="C46" i="11"/>
  <c r="C47" i="11"/>
  <c r="C48" i="11"/>
  <c r="C49" i="11"/>
  <c r="C50" i="11"/>
  <c r="C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6" i="11"/>
  <c r="B7" i="10"/>
  <c r="C7" i="10" s="1"/>
  <c r="B6" i="10"/>
  <c r="C6" i="10" s="1"/>
  <c r="D7" i="10"/>
  <c r="D6" i="10"/>
  <c r="M9" i="8"/>
  <c r="M8" i="8"/>
  <c r="L6" i="8"/>
  <c r="L5" i="8"/>
  <c r="M6" i="8"/>
  <c r="M5" i="8"/>
  <c r="K15" i="8"/>
  <c r="K16" i="8"/>
  <c r="K17" i="8"/>
  <c r="K18" i="8"/>
  <c r="K19" i="8"/>
  <c r="K20" i="8"/>
  <c r="K21" i="8"/>
  <c r="K22" i="8"/>
  <c r="K23" i="8"/>
  <c r="K24" i="8"/>
  <c r="K25" i="8"/>
  <c r="K26" i="8"/>
  <c r="K27" i="8"/>
  <c r="K28" i="8"/>
  <c r="K29" i="8"/>
  <c r="K30" i="8"/>
  <c r="K31" i="8"/>
  <c r="K32" i="8"/>
  <c r="K33" i="8"/>
  <c r="K34" i="8"/>
  <c r="K35" i="8"/>
  <c r="K36" i="8"/>
  <c r="K37" i="8"/>
  <c r="K38" i="8"/>
  <c r="K39" i="8"/>
  <c r="K40" i="8"/>
  <c r="K41" i="8"/>
  <c r="K42" i="8"/>
  <c r="K43" i="8"/>
  <c r="K44" i="8"/>
  <c r="K45" i="8"/>
  <c r="K46" i="8"/>
  <c r="K47" i="8"/>
  <c r="K48" i="8"/>
  <c r="K49" i="8"/>
  <c r="K50" i="8"/>
  <c r="K51" i="8"/>
  <c r="K52" i="8"/>
  <c r="K53" i="8"/>
  <c r="K54" i="8"/>
  <c r="K55" i="8"/>
  <c r="K56" i="8"/>
  <c r="K57" i="8"/>
  <c r="K58" i="8"/>
  <c r="K14" i="8"/>
  <c r="L15" i="8"/>
  <c r="L16" i="8"/>
  <c r="L17" i="8"/>
  <c r="L18" i="8"/>
  <c r="L19" i="8"/>
  <c r="L20" i="8"/>
  <c r="L21" i="8"/>
  <c r="L22" i="8"/>
  <c r="L23" i="8"/>
  <c r="L24" i="8"/>
  <c r="L25" i="8"/>
  <c r="L26" i="8"/>
  <c r="L27" i="8"/>
  <c r="L28" i="8"/>
  <c r="L29" i="8"/>
  <c r="L30" i="8"/>
  <c r="L31" i="8"/>
  <c r="L32" i="8"/>
  <c r="L33" i="8"/>
  <c r="L34" i="8"/>
  <c r="L35" i="8"/>
  <c r="L36" i="8"/>
  <c r="L37" i="8"/>
  <c r="L38" i="8"/>
  <c r="L39" i="8"/>
  <c r="L40" i="8"/>
  <c r="L41" i="8"/>
  <c r="L42" i="8"/>
  <c r="L43" i="8"/>
  <c r="L44" i="8"/>
  <c r="L45" i="8"/>
  <c r="L46" i="8"/>
  <c r="L47" i="8"/>
  <c r="L48" i="8"/>
  <c r="L49" i="8"/>
  <c r="L50" i="8"/>
  <c r="L51" i="8"/>
  <c r="L52" i="8"/>
  <c r="L53" i="8"/>
  <c r="L54" i="8"/>
  <c r="L55" i="8"/>
  <c r="L56" i="8"/>
  <c r="L57" i="8"/>
  <c r="L58" i="8"/>
  <c r="L14" i="8"/>
  <c r="D12" i="10"/>
  <c r="D5" i="10"/>
  <c r="C12" i="10"/>
  <c r="E12" i="10" s="1"/>
  <c r="F12" i="10" s="1"/>
  <c r="D18" i="2" s="1"/>
  <c r="B5" i="10"/>
  <c r="C5" i="10" s="1"/>
  <c r="E5" i="10" s="1"/>
  <c r="F5" i="10" s="1"/>
  <c r="J58" i="8"/>
  <c r="J57" i="8"/>
  <c r="J56" i="8"/>
  <c r="J55" i="8"/>
  <c r="J54" i="8"/>
  <c r="J53" i="8"/>
  <c r="J52" i="8"/>
  <c r="J51" i="8"/>
  <c r="J50" i="8"/>
  <c r="J49" i="8"/>
  <c r="J48" i="8"/>
  <c r="J47" i="8"/>
  <c r="J46" i="8"/>
  <c r="J45" i="8"/>
  <c r="J44" i="8"/>
  <c r="J43" i="8"/>
  <c r="J42" i="8"/>
  <c r="J41" i="8"/>
  <c r="J40" i="8"/>
  <c r="J39" i="8"/>
  <c r="J38" i="8"/>
  <c r="J37" i="8"/>
  <c r="J36" i="8"/>
  <c r="J35" i="8"/>
  <c r="J34" i="8"/>
  <c r="J33" i="8"/>
  <c r="J32" i="8"/>
  <c r="J31" i="8"/>
  <c r="J30" i="8"/>
  <c r="J29" i="8"/>
  <c r="J28" i="8"/>
  <c r="J27" i="8"/>
  <c r="J26" i="8"/>
  <c r="J25" i="8"/>
  <c r="J24" i="8"/>
  <c r="J23" i="8"/>
  <c r="J22" i="8"/>
  <c r="J21" i="8"/>
  <c r="J20" i="8"/>
  <c r="J19" i="8"/>
  <c r="J18" i="8"/>
  <c r="J17" i="8"/>
  <c r="J16" i="8"/>
  <c r="J15" i="8"/>
  <c r="J14" i="8"/>
  <c r="M50" i="6"/>
  <c r="M49" i="6"/>
  <c r="M48" i="6"/>
  <c r="M47" i="6"/>
  <c r="M46" i="6"/>
  <c r="M45" i="6"/>
  <c r="M44" i="6"/>
  <c r="M43" i="6"/>
  <c r="M42" i="6"/>
  <c r="M41" i="6"/>
  <c r="M40" i="6"/>
  <c r="M39" i="6"/>
  <c r="M38" i="6"/>
  <c r="M37" i="6"/>
  <c r="M36" i="6"/>
  <c r="M35" i="6"/>
  <c r="M34" i="6"/>
  <c r="M33" i="6"/>
  <c r="M32" i="6"/>
  <c r="M31" i="6"/>
  <c r="M30" i="6"/>
  <c r="M29" i="6"/>
  <c r="M28" i="6"/>
  <c r="M27" i="6"/>
  <c r="M26" i="6"/>
  <c r="E50" i="5"/>
  <c r="D50" i="5"/>
  <c r="B50" i="5"/>
  <c r="C50" i="5" s="1"/>
  <c r="E49" i="5"/>
  <c r="D49" i="5"/>
  <c r="B49" i="5"/>
  <c r="C49" i="5" s="1"/>
  <c r="E48" i="5"/>
  <c r="D48" i="5"/>
  <c r="B48" i="5"/>
  <c r="C48" i="5" s="1"/>
  <c r="E47" i="5"/>
  <c r="D47" i="5"/>
  <c r="B47" i="5"/>
  <c r="C47" i="5" s="1"/>
  <c r="E46" i="5"/>
  <c r="D46" i="5"/>
  <c r="B46" i="5"/>
  <c r="C46" i="5" s="1"/>
  <c r="E45" i="5"/>
  <c r="D45" i="5"/>
  <c r="B45" i="5"/>
  <c r="C45" i="5" s="1"/>
  <c r="E44" i="5"/>
  <c r="D44" i="5"/>
  <c r="B44" i="5"/>
  <c r="C44" i="5" s="1"/>
  <c r="E43" i="5"/>
  <c r="D43" i="5"/>
  <c r="B43" i="5"/>
  <c r="C43" i="5" s="1"/>
  <c r="E42" i="5"/>
  <c r="D42" i="5"/>
  <c r="B42" i="5"/>
  <c r="C42" i="5" s="1"/>
  <c r="E41" i="5"/>
  <c r="D41" i="5"/>
  <c r="B41" i="5"/>
  <c r="C41" i="5" s="1"/>
  <c r="E40" i="5"/>
  <c r="D40" i="5"/>
  <c r="B40" i="5"/>
  <c r="C40" i="5" s="1"/>
  <c r="E39" i="5"/>
  <c r="D39" i="5"/>
  <c r="B39" i="5"/>
  <c r="C39" i="5" s="1"/>
  <c r="E38" i="5"/>
  <c r="D38" i="5"/>
  <c r="B38" i="5"/>
  <c r="C38" i="5" s="1"/>
  <c r="E37" i="5"/>
  <c r="D37" i="5"/>
  <c r="B37" i="5"/>
  <c r="C37" i="5" s="1"/>
  <c r="E36" i="5"/>
  <c r="D36" i="5"/>
  <c r="B36" i="5"/>
  <c r="C36" i="5" s="1"/>
  <c r="E35" i="5"/>
  <c r="D35" i="5"/>
  <c r="B35" i="5"/>
  <c r="C35" i="5" s="1"/>
  <c r="E34" i="5"/>
  <c r="D34" i="5"/>
  <c r="B34" i="5"/>
  <c r="C34" i="5" s="1"/>
  <c r="E33" i="5"/>
  <c r="D33" i="5"/>
  <c r="B33" i="5"/>
  <c r="C33" i="5" s="1"/>
  <c r="E32" i="5"/>
  <c r="D32" i="5"/>
  <c r="B32" i="5"/>
  <c r="C32" i="5" s="1"/>
  <c r="E31" i="5"/>
  <c r="D31" i="5"/>
  <c r="B31" i="5"/>
  <c r="C31" i="5" s="1"/>
  <c r="E30" i="5"/>
  <c r="D30" i="5"/>
  <c r="B30" i="5"/>
  <c r="C30" i="5" s="1"/>
  <c r="E29" i="5"/>
  <c r="D29" i="5"/>
  <c r="B29" i="5"/>
  <c r="C29" i="5" s="1"/>
  <c r="E28" i="5"/>
  <c r="D28" i="5"/>
  <c r="B28" i="5"/>
  <c r="C28" i="5" s="1"/>
  <c r="E27" i="5"/>
  <c r="D27" i="5"/>
  <c r="B27" i="5"/>
  <c r="C27" i="5" s="1"/>
  <c r="E26" i="5"/>
  <c r="D26" i="5"/>
  <c r="B26" i="5"/>
  <c r="C26" i="5" s="1"/>
  <c r="E25" i="5"/>
  <c r="D25" i="5"/>
  <c r="B25" i="5"/>
  <c r="C25" i="5" s="1"/>
  <c r="E24" i="5"/>
  <c r="D24" i="5"/>
  <c r="B24" i="5"/>
  <c r="C24" i="5" s="1"/>
  <c r="E23" i="5"/>
  <c r="D23" i="5"/>
  <c r="B23" i="5"/>
  <c r="C23" i="5" s="1"/>
  <c r="E22" i="5"/>
  <c r="D22" i="5"/>
  <c r="B22" i="5"/>
  <c r="C22" i="5" s="1"/>
  <c r="E21" i="5"/>
  <c r="D21" i="5"/>
  <c r="C21" i="5"/>
  <c r="B21" i="5"/>
  <c r="E20" i="5"/>
  <c r="D20" i="5"/>
  <c r="B20" i="5"/>
  <c r="C20" i="5" s="1"/>
  <c r="E19" i="5"/>
  <c r="D19" i="5"/>
  <c r="B19" i="5"/>
  <c r="C19" i="5" s="1"/>
  <c r="E18" i="5"/>
  <c r="D18" i="5"/>
  <c r="B18" i="5"/>
  <c r="C18" i="5" s="1"/>
  <c r="E17" i="5"/>
  <c r="D17" i="5"/>
  <c r="B17" i="5"/>
  <c r="C17" i="5" s="1"/>
  <c r="E16" i="5"/>
  <c r="D16" i="5"/>
  <c r="B16" i="5"/>
  <c r="C16" i="5" s="1"/>
  <c r="E15" i="5"/>
  <c r="D15" i="5"/>
  <c r="B15" i="5"/>
  <c r="C15" i="5" s="1"/>
  <c r="E14" i="5"/>
  <c r="D14" i="5"/>
  <c r="B14" i="5"/>
  <c r="C14" i="5" s="1"/>
  <c r="E13" i="5"/>
  <c r="D13" i="5"/>
  <c r="B13" i="5"/>
  <c r="C13" i="5" s="1"/>
  <c r="E12" i="5"/>
  <c r="D12" i="5"/>
  <c r="B12" i="5"/>
  <c r="C12" i="5" s="1"/>
  <c r="E11" i="5"/>
  <c r="D11" i="5"/>
  <c r="B11" i="5"/>
  <c r="C11" i="5" s="1"/>
  <c r="E10" i="5"/>
  <c r="D10" i="5"/>
  <c r="B10" i="5"/>
  <c r="C10" i="5" s="1"/>
  <c r="E9" i="5"/>
  <c r="D9" i="5"/>
  <c r="B9" i="5"/>
  <c r="C9" i="5" s="1"/>
  <c r="E8" i="5"/>
  <c r="D8" i="5"/>
  <c r="B8" i="5"/>
  <c r="C8" i="5" s="1"/>
  <c r="E7" i="5"/>
  <c r="D7" i="5"/>
  <c r="B7" i="5"/>
  <c r="C7" i="5" s="1"/>
  <c r="F6" i="5"/>
  <c r="E6" i="5"/>
  <c r="D6" i="5"/>
  <c r="B6" i="5"/>
  <c r="C6" i="5" s="1"/>
  <c r="F25" i="4"/>
  <c r="E25" i="4"/>
  <c r="D25" i="4"/>
  <c r="B25" i="4"/>
  <c r="C25" i="4" s="1"/>
  <c r="F24" i="4"/>
  <c r="E24" i="4"/>
  <c r="D24" i="4"/>
  <c r="B24" i="4"/>
  <c r="C24" i="4" s="1"/>
  <c r="F23" i="4"/>
  <c r="E23" i="4"/>
  <c r="D23" i="4"/>
  <c r="B23" i="4"/>
  <c r="C23" i="4" s="1"/>
  <c r="F22" i="4"/>
  <c r="E22" i="4"/>
  <c r="D22" i="4"/>
  <c r="C22" i="4"/>
  <c r="B22" i="4"/>
  <c r="F21" i="4"/>
  <c r="E21" i="4"/>
  <c r="D21" i="4"/>
  <c r="B21" i="4"/>
  <c r="C21" i="4" s="1"/>
  <c r="F20" i="4"/>
  <c r="E20" i="4"/>
  <c r="D20" i="4"/>
  <c r="B20" i="4"/>
  <c r="C20" i="4" s="1"/>
  <c r="F19" i="4"/>
  <c r="E19" i="4"/>
  <c r="D19" i="4"/>
  <c r="B19" i="4"/>
  <c r="C19" i="4" s="1"/>
  <c r="F18" i="4"/>
  <c r="E18" i="4"/>
  <c r="D18" i="4"/>
  <c r="B18" i="4"/>
  <c r="C18" i="4" s="1"/>
  <c r="F17" i="4"/>
  <c r="E17" i="4"/>
  <c r="D17" i="4"/>
  <c r="B17" i="4"/>
  <c r="C17" i="4" s="1"/>
  <c r="F16" i="4"/>
  <c r="E16" i="4"/>
  <c r="D16" i="4"/>
  <c r="B16" i="4"/>
  <c r="C16" i="4" s="1"/>
  <c r="F15" i="4"/>
  <c r="E15" i="4"/>
  <c r="D15" i="4"/>
  <c r="B15" i="4"/>
  <c r="C15" i="4" s="1"/>
  <c r="F14" i="4"/>
  <c r="E14" i="4"/>
  <c r="D14" i="4"/>
  <c r="B14" i="4"/>
  <c r="C14" i="4" s="1"/>
  <c r="F13" i="4"/>
  <c r="E13" i="4"/>
  <c r="D13" i="4"/>
  <c r="B13" i="4"/>
  <c r="C13" i="4" s="1"/>
  <c r="F12" i="4"/>
  <c r="E12" i="4"/>
  <c r="D12" i="4"/>
  <c r="B12" i="4"/>
  <c r="C12" i="4" s="1"/>
  <c r="F11" i="4"/>
  <c r="E11" i="4"/>
  <c r="D11" i="4"/>
  <c r="B11" i="4"/>
  <c r="C11" i="4" s="1"/>
  <c r="F10" i="4"/>
  <c r="E10" i="4"/>
  <c r="D10" i="4"/>
  <c r="B10" i="4"/>
  <c r="C10" i="4" s="1"/>
  <c r="F9" i="4"/>
  <c r="E9" i="4"/>
  <c r="D9" i="4"/>
  <c r="B9" i="4"/>
  <c r="C9" i="4" s="1"/>
  <c r="F8" i="4"/>
  <c r="E8" i="4"/>
  <c r="D8" i="4"/>
  <c r="B8" i="4"/>
  <c r="C8" i="4" s="1"/>
  <c r="F7" i="4"/>
  <c r="E7" i="4"/>
  <c r="D7" i="4"/>
  <c r="B7" i="4"/>
  <c r="C7" i="4" s="1"/>
  <c r="G6" i="4"/>
  <c r="F6" i="4"/>
  <c r="E6" i="4"/>
  <c r="D6" i="4"/>
  <c r="B6" i="4"/>
  <c r="C6" i="4" s="1"/>
  <c r="E7" i="10" l="1"/>
  <c r="F7" i="10" s="1"/>
  <c r="E6" i="10"/>
  <c r="F6" i="10" s="1"/>
  <c r="E50" i="7"/>
  <c r="E49" i="7"/>
  <c r="E48" i="7" s="1"/>
  <c r="E47" i="7" s="1"/>
  <c r="E46" i="7" s="1"/>
  <c r="E45" i="7" s="1"/>
  <c r="E44" i="7" s="1"/>
  <c r="E43" i="7" s="1"/>
  <c r="E42" i="7" s="1"/>
  <c r="E41" i="7" s="1"/>
  <c r="E40" i="7" s="1"/>
  <c r="E39" i="7" s="1"/>
  <c r="E38" i="7" s="1"/>
  <c r="E37" i="7" s="1"/>
  <c r="E36" i="7" s="1"/>
  <c r="E35" i="7" s="1"/>
  <c r="E34" i="7" s="1"/>
  <c r="E33" i="7" s="1"/>
  <c r="E32" i="7" s="1"/>
  <c r="E31" i="7" s="1"/>
  <c r="E30" i="7" s="1"/>
  <c r="E29" i="7" s="1"/>
  <c r="E28" i="7" s="1"/>
  <c r="E27" i="7" s="1"/>
  <c r="E26" i="7" s="1"/>
  <c r="M50" i="5"/>
  <c r="M49" i="5" s="1"/>
  <c r="M48" i="5" s="1"/>
  <c r="M47" i="5" s="1"/>
  <c r="M46" i="5" s="1"/>
  <c r="M45" i="5" s="1"/>
  <c r="M44" i="5" s="1"/>
  <c r="M43" i="5" s="1"/>
  <c r="M42" i="5" s="1"/>
  <c r="M41" i="5" s="1"/>
  <c r="M40" i="5" s="1"/>
  <c r="M39" i="5" s="1"/>
  <c r="M38" i="5" s="1"/>
  <c r="M37" i="5" s="1"/>
  <c r="M36" i="5" s="1"/>
  <c r="M35" i="5" s="1"/>
  <c r="M34" i="5" s="1"/>
  <c r="M33" i="5" s="1"/>
  <c r="M32" i="5" s="1"/>
  <c r="M31" i="5" s="1"/>
  <c r="M30" i="5" s="1"/>
  <c r="M29" i="5" s="1"/>
  <c r="M28" i="5" s="1"/>
  <c r="M27" i="5" s="1"/>
  <c r="M26" i="5" s="1"/>
  <c r="M25" i="5" s="1"/>
  <c r="M24" i="5" s="1"/>
  <c r="M23" i="5" s="1"/>
  <c r="M22" i="5" s="1"/>
  <c r="M21" i="5" s="1"/>
  <c r="M20" i="5" s="1"/>
  <c r="M19" i="5" s="1"/>
  <c r="M18" i="5" s="1"/>
  <c r="M17" i="5" s="1"/>
  <c r="M16" i="5" s="1"/>
  <c r="M15" i="5" s="1"/>
  <c r="M14" i="5" s="1"/>
  <c r="M13" i="5" s="1"/>
  <c r="M12" i="5" s="1"/>
  <c r="M11" i="5" s="1"/>
  <c r="M10" i="5" s="1"/>
  <c r="M9" i="5" s="1"/>
  <c r="M8" i="5" s="1"/>
  <c r="M7" i="5" s="1"/>
  <c r="M6" i="5" s="1"/>
  <c r="R6" i="5" s="1"/>
  <c r="J50" i="5"/>
  <c r="K50" i="5" s="1"/>
  <c r="I50" i="5"/>
  <c r="G50" i="5"/>
  <c r="H50" i="5"/>
  <c r="L50" i="5"/>
  <c r="G49" i="5"/>
  <c r="J49" i="5"/>
  <c r="H49" i="5"/>
  <c r="I49" i="5" s="1"/>
  <c r="L49" i="5"/>
  <c r="J48" i="5"/>
  <c r="G48" i="5"/>
  <c r="H48" i="5"/>
  <c r="I48" i="5" s="1"/>
  <c r="L48" i="5"/>
  <c r="J47" i="5"/>
  <c r="G47" i="5"/>
  <c r="H47" i="5"/>
  <c r="I47" i="5" s="1"/>
  <c r="L47" i="5"/>
  <c r="J46" i="5"/>
  <c r="G46" i="5"/>
  <c r="H46" i="5"/>
  <c r="I46" i="5" s="1"/>
  <c r="L46" i="5"/>
  <c r="J45" i="5"/>
  <c r="G45" i="5"/>
  <c r="H45" i="5"/>
  <c r="I45" i="5" s="1"/>
  <c r="L45" i="5"/>
  <c r="G44" i="5"/>
  <c r="J44" i="5"/>
  <c r="H44" i="5"/>
  <c r="I44" i="5" s="1"/>
  <c r="L44" i="5"/>
  <c r="G43" i="5"/>
  <c r="J43" i="5"/>
  <c r="H43" i="5"/>
  <c r="I43" i="5" s="1"/>
  <c r="L43" i="5"/>
  <c r="G42" i="5"/>
  <c r="J42" i="5"/>
  <c r="H42" i="5"/>
  <c r="I42" i="5" s="1"/>
  <c r="L42" i="5"/>
  <c r="J41" i="5"/>
  <c r="G41" i="5"/>
  <c r="H41" i="5"/>
  <c r="I41" i="5" s="1"/>
  <c r="L41" i="5"/>
  <c r="G40" i="5"/>
  <c r="J40" i="5"/>
  <c r="H40" i="5"/>
  <c r="I40" i="5" s="1"/>
  <c r="L40" i="5"/>
  <c r="J39" i="5"/>
  <c r="G39" i="5"/>
  <c r="H39" i="5"/>
  <c r="I39" i="5" s="1"/>
  <c r="L39" i="5"/>
  <c r="J38" i="5"/>
  <c r="G38" i="5"/>
  <c r="H38" i="5"/>
  <c r="I38" i="5" s="1"/>
  <c r="L38" i="5"/>
  <c r="J37" i="5"/>
  <c r="G37" i="5"/>
  <c r="H37" i="5"/>
  <c r="I37" i="5" s="1"/>
  <c r="L37" i="5"/>
  <c r="J36" i="5"/>
  <c r="G36" i="5"/>
  <c r="H36" i="5"/>
  <c r="I36" i="5" s="1"/>
  <c r="L36" i="5"/>
  <c r="J35" i="5"/>
  <c r="G35" i="5"/>
  <c r="H35" i="5"/>
  <c r="I35" i="5" s="1"/>
  <c r="L35" i="5"/>
  <c r="G34" i="5"/>
  <c r="J34" i="5"/>
  <c r="H34" i="5"/>
  <c r="I34" i="5" s="1"/>
  <c r="L34" i="5"/>
  <c r="J33" i="5"/>
  <c r="G33" i="5"/>
  <c r="H33" i="5"/>
  <c r="I33" i="5" s="1"/>
  <c r="L33" i="5"/>
  <c r="J32" i="5"/>
  <c r="G32" i="5"/>
  <c r="H32" i="5"/>
  <c r="I32" i="5" s="1"/>
  <c r="L32" i="5"/>
  <c r="J31" i="5"/>
  <c r="G31" i="5"/>
  <c r="H31" i="5"/>
  <c r="I31" i="5" s="1"/>
  <c r="L31" i="5"/>
  <c r="J30" i="5"/>
  <c r="G30" i="5"/>
  <c r="H30" i="5"/>
  <c r="I30" i="5" s="1"/>
  <c r="L30" i="5"/>
  <c r="J29" i="5"/>
  <c r="G29" i="5"/>
  <c r="H29" i="5"/>
  <c r="I29" i="5" s="1"/>
  <c r="L29" i="5"/>
  <c r="G28" i="5"/>
  <c r="J28" i="5"/>
  <c r="H28" i="5"/>
  <c r="I28" i="5" s="1"/>
  <c r="L28" i="5"/>
  <c r="G27" i="5"/>
  <c r="J27" i="5"/>
  <c r="H27" i="5"/>
  <c r="I27" i="5" s="1"/>
  <c r="L27" i="5"/>
  <c r="G26" i="5"/>
  <c r="J26" i="5"/>
  <c r="H26" i="5"/>
  <c r="I26" i="5" s="1"/>
  <c r="L26" i="5"/>
  <c r="G25" i="5"/>
  <c r="J25" i="5"/>
  <c r="L25" i="5"/>
  <c r="H25" i="5"/>
  <c r="I25" i="5" s="1"/>
  <c r="J24" i="5"/>
  <c r="G24" i="5"/>
  <c r="H24" i="5"/>
  <c r="I24" i="5" s="1"/>
  <c r="L24" i="5"/>
  <c r="G23" i="5"/>
  <c r="J23" i="5"/>
  <c r="H23" i="5"/>
  <c r="I23" i="5" s="1"/>
  <c r="L23" i="5"/>
  <c r="J22" i="5"/>
  <c r="G22" i="5"/>
  <c r="H22" i="5"/>
  <c r="L22" i="5"/>
  <c r="J21" i="5"/>
  <c r="G21" i="5"/>
  <c r="H21" i="5"/>
  <c r="L21" i="5"/>
  <c r="G20" i="5"/>
  <c r="J20" i="5"/>
  <c r="H20" i="5"/>
  <c r="L20" i="5"/>
  <c r="G19" i="5"/>
  <c r="J19" i="5"/>
  <c r="H19" i="5"/>
  <c r="L19" i="5"/>
  <c r="J18" i="5"/>
  <c r="G18" i="5"/>
  <c r="H18" i="5"/>
  <c r="L18" i="5"/>
  <c r="J17" i="5"/>
  <c r="G17" i="5"/>
  <c r="H17" i="5"/>
  <c r="L17" i="5"/>
  <c r="G16" i="5"/>
  <c r="J16" i="5"/>
  <c r="H16" i="5"/>
  <c r="L16" i="5"/>
  <c r="J15" i="5"/>
  <c r="G15" i="5"/>
  <c r="H15" i="5"/>
  <c r="L15" i="5"/>
  <c r="G14" i="5"/>
  <c r="J14" i="5"/>
  <c r="H14" i="5"/>
  <c r="L14" i="5"/>
  <c r="J13" i="5"/>
  <c r="G13" i="5"/>
  <c r="H13" i="5"/>
  <c r="L13" i="5"/>
  <c r="G12" i="5"/>
  <c r="J12" i="5"/>
  <c r="H12" i="5"/>
  <c r="L12" i="5"/>
  <c r="J11" i="5"/>
  <c r="G11" i="5"/>
  <c r="H11" i="5"/>
  <c r="L11" i="5"/>
  <c r="G10" i="5"/>
  <c r="J10" i="5"/>
  <c r="H10" i="5"/>
  <c r="L10" i="5"/>
  <c r="J9" i="5"/>
  <c r="G9" i="5"/>
  <c r="H9" i="5"/>
  <c r="L9" i="5"/>
  <c r="J8" i="5"/>
  <c r="G8" i="5"/>
  <c r="H8" i="5"/>
  <c r="L8" i="5"/>
  <c r="G7" i="5"/>
  <c r="J7" i="5"/>
  <c r="L7" i="5"/>
  <c r="H7" i="5"/>
  <c r="F7" i="5"/>
  <c r="J6" i="5"/>
  <c r="G6" i="5"/>
  <c r="N6" i="5" s="1"/>
  <c r="C6" i="2" s="1"/>
  <c r="H6" i="5"/>
  <c r="L6" i="5"/>
  <c r="Q6" i="5" s="1"/>
  <c r="J25" i="4"/>
  <c r="H25" i="4"/>
  <c r="R25" i="4"/>
  <c r="O25" i="4"/>
  <c r="P25" i="4" s="1"/>
  <c r="K25" i="4"/>
  <c r="L25" i="4" s="1"/>
  <c r="M25" i="4"/>
  <c r="N25" i="4" s="1"/>
  <c r="I25" i="4"/>
  <c r="Q25" i="4"/>
  <c r="R24" i="4"/>
  <c r="O24" i="4"/>
  <c r="P24" i="4" s="1"/>
  <c r="M24" i="4"/>
  <c r="N24" i="4" s="1"/>
  <c r="K24" i="4"/>
  <c r="L24" i="4" s="1"/>
  <c r="I24" i="4"/>
  <c r="J24" i="4" s="1"/>
  <c r="Q24" i="4"/>
  <c r="O23" i="4"/>
  <c r="P23" i="4" s="1"/>
  <c r="R23" i="4"/>
  <c r="K23" i="4"/>
  <c r="L23" i="4" s="1"/>
  <c r="M23" i="4"/>
  <c r="N23" i="4" s="1"/>
  <c r="I23" i="4"/>
  <c r="J23" i="4" s="1"/>
  <c r="Q23" i="4"/>
  <c r="R22" i="4"/>
  <c r="O22" i="4"/>
  <c r="P22" i="4" s="1"/>
  <c r="M22" i="4"/>
  <c r="N22" i="4" s="1"/>
  <c r="K22" i="4"/>
  <c r="L22" i="4" s="1"/>
  <c r="Q22" i="4"/>
  <c r="I22" i="4"/>
  <c r="J22" i="4" s="1"/>
  <c r="R21" i="4"/>
  <c r="O21" i="4"/>
  <c r="P21" i="4" s="1"/>
  <c r="K21" i="4"/>
  <c r="L21" i="4" s="1"/>
  <c r="M21" i="4"/>
  <c r="N21" i="4" s="1"/>
  <c r="I21" i="4"/>
  <c r="J21" i="4" s="1"/>
  <c r="Q21" i="4"/>
  <c r="R20" i="4"/>
  <c r="O20" i="4"/>
  <c r="P20" i="4" s="1"/>
  <c r="K20" i="4"/>
  <c r="L20" i="4" s="1"/>
  <c r="M20" i="4"/>
  <c r="N20" i="4" s="1"/>
  <c r="Q20" i="4"/>
  <c r="I20" i="4"/>
  <c r="J20" i="4" s="1"/>
  <c r="R19" i="4"/>
  <c r="O19" i="4"/>
  <c r="P19" i="4" s="1"/>
  <c r="M19" i="4"/>
  <c r="N19" i="4" s="1"/>
  <c r="K19" i="4"/>
  <c r="L19" i="4" s="1"/>
  <c r="Q19" i="4"/>
  <c r="I19" i="4"/>
  <c r="J19" i="4" s="1"/>
  <c r="R18" i="4"/>
  <c r="O18" i="4"/>
  <c r="P18" i="4" s="1"/>
  <c r="K18" i="4"/>
  <c r="L18" i="4" s="1"/>
  <c r="M18" i="4"/>
  <c r="N18" i="4" s="1"/>
  <c r="I18" i="4"/>
  <c r="J18" i="4" s="1"/>
  <c r="Q18" i="4"/>
  <c r="R17" i="4"/>
  <c r="O17" i="4"/>
  <c r="P17" i="4" s="1"/>
  <c r="M17" i="4"/>
  <c r="N17" i="4" s="1"/>
  <c r="K17" i="4"/>
  <c r="L17" i="4" s="1"/>
  <c r="I17" i="4"/>
  <c r="J17" i="4" s="1"/>
  <c r="Q17" i="4"/>
  <c r="O16" i="4"/>
  <c r="P16" i="4" s="1"/>
  <c r="R16" i="4"/>
  <c r="K16" i="4"/>
  <c r="L16" i="4" s="1"/>
  <c r="M16" i="4"/>
  <c r="N16" i="4" s="1"/>
  <c r="I16" i="4"/>
  <c r="J16" i="4" s="1"/>
  <c r="Q16" i="4"/>
  <c r="R15" i="4"/>
  <c r="O15" i="4"/>
  <c r="P15" i="4" s="1"/>
  <c r="M15" i="4"/>
  <c r="N15" i="4" s="1"/>
  <c r="K15" i="4"/>
  <c r="L15" i="4" s="1"/>
  <c r="I15" i="4"/>
  <c r="J15" i="4" s="1"/>
  <c r="Q15" i="4"/>
  <c r="O14" i="4"/>
  <c r="P14" i="4" s="1"/>
  <c r="M14" i="4"/>
  <c r="N14" i="4" s="1"/>
  <c r="K14" i="4"/>
  <c r="L14" i="4" s="1"/>
  <c r="I14" i="4"/>
  <c r="J14" i="4" s="1"/>
  <c r="Q14" i="4"/>
  <c r="R14" i="4"/>
  <c r="S14" i="4"/>
  <c r="S13" i="4" s="1"/>
  <c r="S12" i="4" s="1"/>
  <c r="S11" i="4" s="1"/>
  <c r="S10" i="4" s="1"/>
  <c r="S9" i="4" s="1"/>
  <c r="S8" i="4" s="1"/>
  <c r="S7" i="4" s="1"/>
  <c r="S6" i="4" s="1"/>
  <c r="Z6" i="4" s="1"/>
  <c r="R13" i="4"/>
  <c r="O13" i="4"/>
  <c r="P13" i="4" s="1"/>
  <c r="M13" i="4"/>
  <c r="N13" i="4" s="1"/>
  <c r="K13" i="4"/>
  <c r="L13" i="4" s="1"/>
  <c r="L12" i="4" s="1"/>
  <c r="I13" i="4"/>
  <c r="J13" i="4" s="1"/>
  <c r="J12" i="4" s="1"/>
  <c r="Q13" i="4"/>
  <c r="R12" i="4"/>
  <c r="O12" i="4"/>
  <c r="P12" i="4" s="1"/>
  <c r="M12" i="4"/>
  <c r="N12" i="4" s="1"/>
  <c r="K12" i="4"/>
  <c r="I12" i="4"/>
  <c r="Q12" i="4"/>
  <c r="O11" i="4"/>
  <c r="P11" i="4" s="1"/>
  <c r="R11" i="4"/>
  <c r="M11" i="4"/>
  <c r="N11" i="4" s="1"/>
  <c r="K11" i="4"/>
  <c r="L11" i="4" s="1"/>
  <c r="I11" i="4"/>
  <c r="J11" i="4" s="1"/>
  <c r="Q11" i="4"/>
  <c r="R10" i="4"/>
  <c r="O10" i="4"/>
  <c r="P10" i="4" s="1"/>
  <c r="K10" i="4"/>
  <c r="L10" i="4" s="1"/>
  <c r="M10" i="4"/>
  <c r="N10" i="4" s="1"/>
  <c r="I10" i="4"/>
  <c r="J10" i="4" s="1"/>
  <c r="Q10" i="4"/>
  <c r="R9" i="4"/>
  <c r="O9" i="4"/>
  <c r="P9" i="4" s="1"/>
  <c r="K9" i="4"/>
  <c r="L9" i="4" s="1"/>
  <c r="M9" i="4"/>
  <c r="N9" i="4" s="1"/>
  <c r="I9" i="4"/>
  <c r="J9" i="4" s="1"/>
  <c r="Q9" i="4"/>
  <c r="R8" i="4"/>
  <c r="O8" i="4"/>
  <c r="P8" i="4" s="1"/>
  <c r="K8" i="4"/>
  <c r="M8" i="4"/>
  <c r="I8" i="4"/>
  <c r="Q8" i="4"/>
  <c r="Q7" i="4" s="1"/>
  <c r="Q6" i="4" s="1"/>
  <c r="Y6" i="4" s="1"/>
  <c r="R7" i="4"/>
  <c r="R6" i="4" s="1"/>
  <c r="AA6" i="4" s="1"/>
  <c r="O7" i="4"/>
  <c r="P7" i="4" s="1"/>
  <c r="M7" i="4"/>
  <c r="K7" i="4"/>
  <c r="I7" i="4"/>
  <c r="G7" i="4"/>
  <c r="X6" i="4"/>
  <c r="O6" i="4"/>
  <c r="M6" i="4"/>
  <c r="K6" i="4"/>
  <c r="I6" i="4"/>
  <c r="S25" i="4"/>
  <c r="S24" i="4"/>
  <c r="S23" i="4"/>
  <c r="S22" i="4" s="1"/>
  <c r="S21" i="4"/>
  <c r="S20" i="4"/>
  <c r="S19" i="4"/>
  <c r="S18" i="4"/>
  <c r="S17" i="4"/>
  <c r="S16" i="4"/>
  <c r="S15" i="4"/>
  <c r="C6" i="8" l="1"/>
  <c r="D14" i="8"/>
  <c r="N7" i="5"/>
  <c r="Q7" i="5"/>
  <c r="D15" i="8" s="1"/>
  <c r="R7" i="5"/>
  <c r="F8" i="5"/>
  <c r="X7" i="4"/>
  <c r="C15" i="8" s="1"/>
  <c r="Y7" i="4"/>
  <c r="Z7" i="4"/>
  <c r="E15" i="8" s="1"/>
  <c r="AA7" i="4"/>
  <c r="F15" i="8" s="1"/>
  <c r="G8" i="4"/>
  <c r="C8" i="8"/>
  <c r="F14" i="8"/>
  <c r="C7" i="8"/>
  <c r="E14" i="8"/>
  <c r="C5" i="8"/>
  <c r="C14" i="8"/>
  <c r="K49" i="5"/>
  <c r="K48" i="5" s="1"/>
  <c r="K47" i="5" s="1"/>
  <c r="K46" i="5" s="1"/>
  <c r="K45" i="5" s="1"/>
  <c r="K44" i="5" s="1"/>
  <c r="K43" i="5" s="1"/>
  <c r="K42" i="5" s="1"/>
  <c r="K41" i="5" s="1"/>
  <c r="K40" i="5" s="1"/>
  <c r="K39" i="5" s="1"/>
  <c r="K38" i="5" s="1"/>
  <c r="K37" i="5" s="1"/>
  <c r="K36" i="5" s="1"/>
  <c r="K35" i="5" s="1"/>
  <c r="K34" i="5" s="1"/>
  <c r="K33" i="5" s="1"/>
  <c r="K32" i="5" s="1"/>
  <c r="K31" i="5" s="1"/>
  <c r="K30" i="5" s="1"/>
  <c r="K29" i="5" s="1"/>
  <c r="K28" i="5" s="1"/>
  <c r="K27" i="5" s="1"/>
  <c r="K26" i="5" s="1"/>
  <c r="K25" i="5" s="1"/>
  <c r="K24" i="5" s="1"/>
  <c r="K23" i="5" s="1"/>
  <c r="K22" i="5" s="1"/>
  <c r="K21" i="5" s="1"/>
  <c r="K20" i="5" s="1"/>
  <c r="K19" i="5" s="1"/>
  <c r="K18" i="5" s="1"/>
  <c r="K17" i="5" s="1"/>
  <c r="K16" i="5" s="1"/>
  <c r="K15" i="5" s="1"/>
  <c r="K14" i="5" s="1"/>
  <c r="K13" i="5" s="1"/>
  <c r="K12" i="5" s="1"/>
  <c r="K11" i="5" s="1"/>
  <c r="K10" i="5" s="1"/>
  <c r="K9" i="5" s="1"/>
  <c r="K8" i="5" s="1"/>
  <c r="K7" i="5" s="1"/>
  <c r="P6" i="4"/>
  <c r="AB25" i="4"/>
  <c r="H24" i="4"/>
  <c r="I22" i="5"/>
  <c r="I21" i="5" s="1"/>
  <c r="I20" i="5" s="1"/>
  <c r="I19" i="5" s="1"/>
  <c r="I18" i="5" s="1"/>
  <c r="I17" i="5" s="1"/>
  <c r="I16" i="5" s="1"/>
  <c r="I15" i="5" s="1"/>
  <c r="I14" i="5" s="1"/>
  <c r="I13" i="5" s="1"/>
  <c r="I12" i="5" s="1"/>
  <c r="I11" i="5" s="1"/>
  <c r="I10" i="5" s="1"/>
  <c r="I9" i="5" s="1"/>
  <c r="I8" i="5" s="1"/>
  <c r="I7" i="5" s="1"/>
  <c r="L8" i="4"/>
  <c r="L7" i="4" s="1"/>
  <c r="N8" i="4"/>
  <c r="N7" i="4" s="1"/>
  <c r="N6" i="4" s="1"/>
  <c r="J8" i="4"/>
  <c r="J7" i="4" s="1"/>
  <c r="J6" i="4" s="1"/>
  <c r="N8" i="5" l="1"/>
  <c r="O8" i="5"/>
  <c r="C8" i="6" s="1"/>
  <c r="P8" i="5"/>
  <c r="F8" i="6" s="1"/>
  <c r="Q8" i="5"/>
  <c r="D16" i="8" s="1"/>
  <c r="R8" i="5"/>
  <c r="F9" i="5"/>
  <c r="X8" i="4"/>
  <c r="C16" i="8" s="1"/>
  <c r="Y8" i="4"/>
  <c r="Z8" i="4"/>
  <c r="E16" i="8" s="1"/>
  <c r="AA8" i="4"/>
  <c r="F16" i="8" s="1"/>
  <c r="G9" i="4"/>
  <c r="H23" i="4"/>
  <c r="AB24" i="4"/>
  <c r="P7" i="5"/>
  <c r="F7" i="6" s="1"/>
  <c r="K6" i="5"/>
  <c r="P6" i="5" s="1"/>
  <c r="F6" i="6" s="1"/>
  <c r="O7" i="5"/>
  <c r="C7" i="6" s="1"/>
  <c r="N7" i="6" s="1"/>
  <c r="I6" i="5"/>
  <c r="O6" i="5" s="1"/>
  <c r="C6" i="6" s="1"/>
  <c r="N6" i="6" s="1"/>
  <c r="L6" i="4"/>
  <c r="N9" i="5" l="1"/>
  <c r="O9" i="5"/>
  <c r="C9" i="6" s="1"/>
  <c r="P9" i="5"/>
  <c r="F9" i="6" s="1"/>
  <c r="Q9" i="5"/>
  <c r="D17" i="8" s="1"/>
  <c r="R9" i="5"/>
  <c r="F10" i="5"/>
  <c r="X9" i="4"/>
  <c r="C17" i="8" s="1"/>
  <c r="Y9" i="4"/>
  <c r="Z9" i="4"/>
  <c r="E17" i="8" s="1"/>
  <c r="AA9" i="4"/>
  <c r="F17" i="8" s="1"/>
  <c r="G10" i="4"/>
  <c r="H22" i="4"/>
  <c r="AB23" i="4"/>
  <c r="B7" i="9"/>
  <c r="C7" i="9" s="1"/>
  <c r="C7" i="2"/>
  <c r="N8" i="6"/>
  <c r="N10" i="5" l="1"/>
  <c r="O10" i="5"/>
  <c r="C10" i="6" s="1"/>
  <c r="P10" i="5"/>
  <c r="F10" i="6" s="1"/>
  <c r="Q10" i="5"/>
  <c r="D18" i="8" s="1"/>
  <c r="R10" i="5"/>
  <c r="F11" i="5"/>
  <c r="X10" i="4"/>
  <c r="C18" i="8" s="1"/>
  <c r="Y10" i="4"/>
  <c r="Z10" i="4"/>
  <c r="E18" i="8" s="1"/>
  <c r="AA10" i="4"/>
  <c r="F18" i="8" s="1"/>
  <c r="G11" i="4"/>
  <c r="H21" i="4"/>
  <c r="AB22" i="4"/>
  <c r="N9" i="6"/>
  <c r="N11" i="5" l="1"/>
  <c r="O11" i="5"/>
  <c r="C11" i="6" s="1"/>
  <c r="P11" i="5"/>
  <c r="F11" i="6" s="1"/>
  <c r="Q11" i="5"/>
  <c r="D19" i="8" s="1"/>
  <c r="R11" i="5"/>
  <c r="F12" i="5"/>
  <c r="X11" i="4"/>
  <c r="C19" i="8" s="1"/>
  <c r="Y11" i="4"/>
  <c r="Z11" i="4"/>
  <c r="E19" i="8" s="1"/>
  <c r="AA11" i="4"/>
  <c r="F19" i="8" s="1"/>
  <c r="G12" i="4"/>
  <c r="H20" i="4"/>
  <c r="AB21" i="4"/>
  <c r="N10" i="6"/>
  <c r="N12" i="5" l="1"/>
  <c r="O12" i="5"/>
  <c r="C12" i="6" s="1"/>
  <c r="P12" i="5"/>
  <c r="F12" i="6" s="1"/>
  <c r="Q12" i="5"/>
  <c r="D20" i="8" s="1"/>
  <c r="R12" i="5"/>
  <c r="F13" i="5"/>
  <c r="X12" i="4"/>
  <c r="C20" i="8" s="1"/>
  <c r="Y12" i="4"/>
  <c r="Z12" i="4"/>
  <c r="E20" i="8" s="1"/>
  <c r="AA12" i="4"/>
  <c r="F20" i="8" s="1"/>
  <c r="G13" i="4"/>
  <c r="H19" i="4"/>
  <c r="AB20" i="4"/>
  <c r="N11" i="6"/>
  <c r="N13" i="5" l="1"/>
  <c r="O13" i="5"/>
  <c r="C13" i="6" s="1"/>
  <c r="P13" i="5"/>
  <c r="F13" i="6" s="1"/>
  <c r="Q13" i="5"/>
  <c r="D21" i="8" s="1"/>
  <c r="R13" i="5"/>
  <c r="F14" i="5"/>
  <c r="X13" i="4"/>
  <c r="C21" i="8" s="1"/>
  <c r="Y13" i="4"/>
  <c r="Z13" i="4"/>
  <c r="E21" i="8" s="1"/>
  <c r="AA13" i="4"/>
  <c r="F21" i="8" s="1"/>
  <c r="G14" i="4"/>
  <c r="H18" i="4"/>
  <c r="AB19" i="4"/>
  <c r="N12" i="6"/>
  <c r="N14" i="5" l="1"/>
  <c r="O14" i="5"/>
  <c r="C14" i="6" s="1"/>
  <c r="P14" i="5"/>
  <c r="F14" i="6" s="1"/>
  <c r="Q14" i="5"/>
  <c r="D22" i="8" s="1"/>
  <c r="R14" i="5"/>
  <c r="F15" i="5"/>
  <c r="X14" i="4"/>
  <c r="C22" i="8" s="1"/>
  <c r="Z14" i="4"/>
  <c r="E22" i="8" s="1"/>
  <c r="Y14" i="4"/>
  <c r="AA14" i="4"/>
  <c r="F22" i="8" s="1"/>
  <c r="G15" i="4"/>
  <c r="H17" i="4"/>
  <c r="AB18" i="4"/>
  <c r="N13" i="6"/>
  <c r="N15" i="5" l="1"/>
  <c r="O15" i="5"/>
  <c r="C15" i="6" s="1"/>
  <c r="P15" i="5"/>
  <c r="F15" i="6" s="1"/>
  <c r="Q15" i="5"/>
  <c r="D23" i="8" s="1"/>
  <c r="R15" i="5"/>
  <c r="F16" i="5"/>
  <c r="X15" i="4"/>
  <c r="C23" i="8" s="1"/>
  <c r="Z15" i="4"/>
  <c r="E23" i="8" s="1"/>
  <c r="Y15" i="4"/>
  <c r="AA15" i="4"/>
  <c r="F23" i="8" s="1"/>
  <c r="G16" i="4"/>
  <c r="H16" i="4"/>
  <c r="AB17" i="4"/>
  <c r="N14" i="6"/>
  <c r="N16" i="5" l="1"/>
  <c r="O16" i="5"/>
  <c r="C16" i="6" s="1"/>
  <c r="P16" i="5"/>
  <c r="F16" i="6" s="1"/>
  <c r="Q16" i="5"/>
  <c r="D24" i="8" s="1"/>
  <c r="R16" i="5"/>
  <c r="F17" i="5"/>
  <c r="V16" i="4"/>
  <c r="D16" i="6" s="1"/>
  <c r="X16" i="4"/>
  <c r="C24" i="8" s="1"/>
  <c r="T16" i="4"/>
  <c r="U16" i="4"/>
  <c r="B16" i="6" s="1"/>
  <c r="W16" i="4"/>
  <c r="E16" i="6" s="1"/>
  <c r="G16" i="6" s="1"/>
  <c r="Y16" i="4"/>
  <c r="Z16" i="4"/>
  <c r="E24" i="8" s="1"/>
  <c r="AA16" i="4"/>
  <c r="F24" i="8" s="1"/>
  <c r="G17" i="4"/>
  <c r="H15" i="4"/>
  <c r="AB16" i="4"/>
  <c r="N15" i="6"/>
  <c r="N17" i="5" l="1"/>
  <c r="O17" i="5"/>
  <c r="C17" i="6" s="1"/>
  <c r="P17" i="5"/>
  <c r="F17" i="6" s="1"/>
  <c r="Q17" i="5"/>
  <c r="D25" i="8" s="1"/>
  <c r="R17" i="5"/>
  <c r="F18" i="5"/>
  <c r="H16" i="6"/>
  <c r="J16" i="6"/>
  <c r="M16" i="6"/>
  <c r="I16" i="6"/>
  <c r="K16" i="6"/>
  <c r="L16" i="6"/>
  <c r="U17" i="4"/>
  <c r="B17" i="6" s="1"/>
  <c r="W17" i="4"/>
  <c r="E17" i="6" s="1"/>
  <c r="Y17" i="4"/>
  <c r="Z17" i="4"/>
  <c r="E25" i="8" s="1"/>
  <c r="T17" i="4"/>
  <c r="V17" i="4"/>
  <c r="D17" i="6" s="1"/>
  <c r="X17" i="4"/>
  <c r="C25" i="8" s="1"/>
  <c r="AA17" i="4"/>
  <c r="F25" i="8" s="1"/>
  <c r="G18" i="4"/>
  <c r="W15" i="4"/>
  <c r="E15" i="6" s="1"/>
  <c r="G15" i="6" s="1"/>
  <c r="V15" i="4"/>
  <c r="D15" i="6" s="1"/>
  <c r="T15" i="4"/>
  <c r="U15" i="4"/>
  <c r="B15" i="6" s="1"/>
  <c r="H14" i="4"/>
  <c r="AB15" i="4"/>
  <c r="N16" i="6"/>
  <c r="N18" i="5" l="1"/>
  <c r="O18" i="5"/>
  <c r="C18" i="6" s="1"/>
  <c r="P18" i="5"/>
  <c r="F18" i="6" s="1"/>
  <c r="Q18" i="5"/>
  <c r="D26" i="8" s="1"/>
  <c r="R18" i="5"/>
  <c r="F19" i="5"/>
  <c r="O16" i="6"/>
  <c r="R16" i="6"/>
  <c r="T16" i="6"/>
  <c r="G16" i="7"/>
  <c r="Q16" i="6"/>
  <c r="S16" i="6"/>
  <c r="H24" i="8"/>
  <c r="M17" i="6"/>
  <c r="T18" i="4"/>
  <c r="X18" i="4"/>
  <c r="C26" i="8" s="1"/>
  <c r="Y18" i="4"/>
  <c r="AA18" i="4"/>
  <c r="G19" i="4"/>
  <c r="U18" i="4"/>
  <c r="B18" i="6" s="1"/>
  <c r="V18" i="4"/>
  <c r="D18" i="6" s="1"/>
  <c r="W18" i="4"/>
  <c r="E18" i="6" s="1"/>
  <c r="Z18" i="4"/>
  <c r="E26" i="8" s="1"/>
  <c r="M15" i="6"/>
  <c r="K15" i="6"/>
  <c r="J15" i="6"/>
  <c r="I15" i="6"/>
  <c r="H15" i="6"/>
  <c r="L15" i="6" s="1"/>
  <c r="W14" i="4"/>
  <c r="E14" i="6" s="1"/>
  <c r="G14" i="6" s="1"/>
  <c r="U14" i="4"/>
  <c r="B14" i="6" s="1"/>
  <c r="V14" i="4"/>
  <c r="D14" i="6" s="1"/>
  <c r="T14" i="4"/>
  <c r="H13" i="4"/>
  <c r="AB14" i="4"/>
  <c r="G17" i="6"/>
  <c r="N17" i="6"/>
  <c r="N19" i="5" l="1"/>
  <c r="O19" i="5"/>
  <c r="C19" i="6" s="1"/>
  <c r="P19" i="5"/>
  <c r="F19" i="6" s="1"/>
  <c r="Q19" i="5"/>
  <c r="D27" i="8" s="1"/>
  <c r="R19" i="5"/>
  <c r="F20" i="5"/>
  <c r="X16" i="6"/>
  <c r="P16" i="6"/>
  <c r="Y16" i="6"/>
  <c r="O17" i="6"/>
  <c r="U19" i="4"/>
  <c r="B19" i="6" s="1"/>
  <c r="X19" i="4"/>
  <c r="C27" i="8" s="1"/>
  <c r="Z19" i="4"/>
  <c r="E27" i="8" s="1"/>
  <c r="G20" i="4"/>
  <c r="T19" i="4"/>
  <c r="V19" i="4"/>
  <c r="D19" i="6" s="1"/>
  <c r="W19" i="4"/>
  <c r="E19" i="6" s="1"/>
  <c r="G19" i="6" s="1"/>
  <c r="Y19" i="4"/>
  <c r="AA19" i="4"/>
  <c r="F27" i="8" s="1"/>
  <c r="I18" i="6"/>
  <c r="J18" i="6"/>
  <c r="M18" i="6"/>
  <c r="H18" i="6"/>
  <c r="K18" i="6"/>
  <c r="L18" i="6"/>
  <c r="O15" i="6"/>
  <c r="Q15" i="6"/>
  <c r="R15" i="6"/>
  <c r="S15" i="6"/>
  <c r="T15" i="6"/>
  <c r="G15" i="7"/>
  <c r="H23" i="8"/>
  <c r="M14" i="6"/>
  <c r="K14" i="6"/>
  <c r="J14" i="6"/>
  <c r="I14" i="6"/>
  <c r="H14" i="6"/>
  <c r="L14" i="6" s="1"/>
  <c r="W13" i="4"/>
  <c r="E13" i="6" s="1"/>
  <c r="G13" i="6" s="1"/>
  <c r="V13" i="4"/>
  <c r="D13" i="6" s="1"/>
  <c r="U13" i="4"/>
  <c r="B13" i="6" s="1"/>
  <c r="T13" i="4"/>
  <c r="H12" i="4"/>
  <c r="AB13" i="4"/>
  <c r="V16" i="6"/>
  <c r="U16" i="6"/>
  <c r="F26" i="8"/>
  <c r="G18" i="6"/>
  <c r="N18" i="6"/>
  <c r="H17" i="6"/>
  <c r="J17" i="6"/>
  <c r="I17" i="6"/>
  <c r="K17" i="6"/>
  <c r="N20" i="5" l="1"/>
  <c r="O20" i="5"/>
  <c r="C20" i="6" s="1"/>
  <c r="P20" i="5"/>
  <c r="F20" i="6" s="1"/>
  <c r="Q20" i="5"/>
  <c r="D28" i="8" s="1"/>
  <c r="R20" i="5"/>
  <c r="F21" i="5"/>
  <c r="X17" i="6"/>
  <c r="Y17" i="6"/>
  <c r="P17" i="6"/>
  <c r="H19" i="6"/>
  <c r="J19" i="6"/>
  <c r="M19" i="6"/>
  <c r="I19" i="6"/>
  <c r="L19" i="6" s="1"/>
  <c r="K19" i="6"/>
  <c r="T20" i="4"/>
  <c r="U20" i="4"/>
  <c r="B20" i="6" s="1"/>
  <c r="V20" i="4"/>
  <c r="D20" i="6" s="1"/>
  <c r="W20" i="4"/>
  <c r="E20" i="6" s="1"/>
  <c r="G20" i="6" s="1"/>
  <c r="X20" i="4"/>
  <c r="C28" i="8" s="1"/>
  <c r="Y20" i="4"/>
  <c r="Z20" i="4"/>
  <c r="E28" i="8" s="1"/>
  <c r="AA20" i="4"/>
  <c r="F28" i="8" s="1"/>
  <c r="G21" i="4"/>
  <c r="O18" i="6"/>
  <c r="R18" i="6"/>
  <c r="T18" i="6"/>
  <c r="H26" i="8"/>
  <c r="Q18" i="6"/>
  <c r="S18" i="6"/>
  <c r="G18" i="7"/>
  <c r="P15" i="6"/>
  <c r="Y15" i="6"/>
  <c r="X15" i="6"/>
  <c r="O14" i="6"/>
  <c r="Q14" i="6"/>
  <c r="U14" i="6" s="1"/>
  <c r="R14" i="6"/>
  <c r="S14" i="6"/>
  <c r="T14" i="6"/>
  <c r="G14" i="7"/>
  <c r="H22" i="8"/>
  <c r="M13" i="6"/>
  <c r="K13" i="6"/>
  <c r="J13" i="6"/>
  <c r="I13" i="6"/>
  <c r="H13" i="6"/>
  <c r="L13" i="6" s="1"/>
  <c r="W12" i="4"/>
  <c r="E12" i="6" s="1"/>
  <c r="G12" i="6" s="1"/>
  <c r="V12" i="4"/>
  <c r="D12" i="6" s="1"/>
  <c r="U12" i="4"/>
  <c r="B12" i="6" s="1"/>
  <c r="T12" i="4"/>
  <c r="H11" i="4"/>
  <c r="AB12" i="4"/>
  <c r="W16" i="6"/>
  <c r="L17" i="6"/>
  <c r="N19" i="6"/>
  <c r="U15" i="6"/>
  <c r="V15" i="6"/>
  <c r="N21" i="5" l="1"/>
  <c r="O21" i="5"/>
  <c r="C21" i="6" s="1"/>
  <c r="P21" i="5"/>
  <c r="F21" i="6" s="1"/>
  <c r="Q21" i="5"/>
  <c r="D29" i="8" s="1"/>
  <c r="R21" i="5"/>
  <c r="F22" i="5"/>
  <c r="Q19" i="6"/>
  <c r="T19" i="6"/>
  <c r="G19" i="7"/>
  <c r="R19" i="6"/>
  <c r="V19" i="6" s="1"/>
  <c r="S19" i="6"/>
  <c r="H27" i="8"/>
  <c r="O19" i="6"/>
  <c r="H20" i="6"/>
  <c r="J20" i="6"/>
  <c r="M20" i="6"/>
  <c r="I20" i="6"/>
  <c r="K20" i="6"/>
  <c r="L20" i="6"/>
  <c r="T21" i="4"/>
  <c r="U21" i="4"/>
  <c r="B21" i="6" s="1"/>
  <c r="V21" i="4"/>
  <c r="D21" i="6" s="1"/>
  <c r="W21" i="4"/>
  <c r="E21" i="6" s="1"/>
  <c r="G21" i="6" s="1"/>
  <c r="X21" i="4"/>
  <c r="C29" i="8" s="1"/>
  <c r="Y21" i="4"/>
  <c r="Z21" i="4"/>
  <c r="E29" i="8" s="1"/>
  <c r="AA21" i="4"/>
  <c r="F29" i="8" s="1"/>
  <c r="G22" i="4"/>
  <c r="P18" i="6"/>
  <c r="X18" i="6"/>
  <c r="Y18" i="6"/>
  <c r="P14" i="6"/>
  <c r="X14" i="6"/>
  <c r="Y14" i="6"/>
  <c r="W14" i="6"/>
  <c r="O13" i="6"/>
  <c r="Q13" i="6"/>
  <c r="R13" i="6"/>
  <c r="S13" i="6"/>
  <c r="T13" i="6"/>
  <c r="G13" i="7"/>
  <c r="H21" i="8"/>
  <c r="M12" i="6"/>
  <c r="K12" i="6"/>
  <c r="J12" i="6"/>
  <c r="I12" i="6"/>
  <c r="H12" i="6"/>
  <c r="L12" i="6" s="1"/>
  <c r="W11" i="4"/>
  <c r="E11" i="6" s="1"/>
  <c r="G11" i="6" s="1"/>
  <c r="V11" i="4"/>
  <c r="D11" i="6" s="1"/>
  <c r="T11" i="4"/>
  <c r="U11" i="4"/>
  <c r="B11" i="6" s="1"/>
  <c r="H10" i="4"/>
  <c r="AB11" i="4"/>
  <c r="Q17" i="6"/>
  <c r="S17" i="6"/>
  <c r="G17" i="7"/>
  <c r="R17" i="6"/>
  <c r="T17" i="6"/>
  <c r="H25" i="8"/>
  <c r="W15" i="6"/>
  <c r="N20" i="6"/>
  <c r="V18" i="6"/>
  <c r="U18" i="6"/>
  <c r="V14" i="6"/>
  <c r="O22" i="5" l="1"/>
  <c r="C22" i="6" s="1"/>
  <c r="P22" i="5"/>
  <c r="F22" i="6" s="1"/>
  <c r="Q22" i="5"/>
  <c r="D30" i="8" s="1"/>
  <c r="R22" i="5"/>
  <c r="F23" i="5"/>
  <c r="N22" i="5"/>
  <c r="P19" i="6"/>
  <c r="X19" i="6"/>
  <c r="Y19" i="6"/>
  <c r="O20" i="6"/>
  <c r="R20" i="6"/>
  <c r="T20" i="6"/>
  <c r="H28" i="8"/>
  <c r="Q20" i="6"/>
  <c r="S20" i="6"/>
  <c r="G20" i="7"/>
  <c r="H21" i="6"/>
  <c r="J21" i="6"/>
  <c r="I21" i="6"/>
  <c r="L21" i="6" s="1"/>
  <c r="K21" i="6"/>
  <c r="M21" i="6"/>
  <c r="T22" i="4"/>
  <c r="U22" i="4"/>
  <c r="B22" i="6" s="1"/>
  <c r="V22" i="4"/>
  <c r="D22" i="6" s="1"/>
  <c r="W22" i="4"/>
  <c r="E22" i="6" s="1"/>
  <c r="G22" i="6" s="1"/>
  <c r="Y22" i="4"/>
  <c r="AA22" i="4"/>
  <c r="F30" i="8" s="1"/>
  <c r="G23" i="4"/>
  <c r="X22" i="4"/>
  <c r="C30" i="8" s="1"/>
  <c r="Z22" i="4"/>
  <c r="E30" i="8" s="1"/>
  <c r="P13" i="6"/>
  <c r="X13" i="6"/>
  <c r="Y13" i="6"/>
  <c r="O12" i="6"/>
  <c r="Q12" i="6"/>
  <c r="R12" i="6"/>
  <c r="V12" i="6" s="1"/>
  <c r="S12" i="6"/>
  <c r="T12" i="6"/>
  <c r="G12" i="7"/>
  <c r="H20" i="8"/>
  <c r="M11" i="6"/>
  <c r="K11" i="6"/>
  <c r="J11" i="6"/>
  <c r="I11" i="6"/>
  <c r="H11" i="6"/>
  <c r="L11" i="6" s="1"/>
  <c r="W10" i="4"/>
  <c r="E10" i="6" s="1"/>
  <c r="G10" i="6" s="1"/>
  <c r="V10" i="4"/>
  <c r="D10" i="6" s="1"/>
  <c r="U10" i="4"/>
  <c r="B10" i="6" s="1"/>
  <c r="T10" i="4"/>
  <c r="H9" i="4"/>
  <c r="AB10" i="4"/>
  <c r="W18" i="6"/>
  <c r="U17" i="6"/>
  <c r="V17" i="6"/>
  <c r="N21" i="6"/>
  <c r="U19" i="6"/>
  <c r="U13" i="6"/>
  <c r="V13" i="6"/>
  <c r="O23" i="5" l="1"/>
  <c r="C23" i="6" s="1"/>
  <c r="Q23" i="5"/>
  <c r="D31" i="8" s="1"/>
  <c r="N23" i="5"/>
  <c r="P23" i="5"/>
  <c r="F23" i="6" s="1"/>
  <c r="R23" i="5"/>
  <c r="F24" i="5"/>
  <c r="Y20" i="6"/>
  <c r="P20" i="6"/>
  <c r="X20" i="6"/>
  <c r="R21" i="6"/>
  <c r="T21" i="6"/>
  <c r="H29" i="8"/>
  <c r="Q21" i="6"/>
  <c r="S21" i="6"/>
  <c r="G21" i="7"/>
  <c r="O21" i="6"/>
  <c r="I22" i="6"/>
  <c r="M22" i="6"/>
  <c r="H22" i="6"/>
  <c r="J22" i="6"/>
  <c r="K22" i="6"/>
  <c r="L22" i="6"/>
  <c r="T23" i="4"/>
  <c r="V23" i="4"/>
  <c r="D23" i="6" s="1"/>
  <c r="W23" i="4"/>
  <c r="E23" i="6" s="1"/>
  <c r="Y23" i="4"/>
  <c r="Z23" i="4"/>
  <c r="E31" i="8" s="1"/>
  <c r="U23" i="4"/>
  <c r="B23" i="6" s="1"/>
  <c r="X23" i="4"/>
  <c r="C31" i="8" s="1"/>
  <c r="AA23" i="4"/>
  <c r="F31" i="8" s="1"/>
  <c r="G24" i="4"/>
  <c r="P12" i="6"/>
  <c r="X12" i="6"/>
  <c r="Y12" i="6"/>
  <c r="O11" i="6"/>
  <c r="Q11" i="6"/>
  <c r="U11" i="6" s="1"/>
  <c r="R11" i="6"/>
  <c r="V11" i="6" s="1"/>
  <c r="S11" i="6"/>
  <c r="T11" i="6"/>
  <c r="G11" i="7"/>
  <c r="H19" i="8"/>
  <c r="M10" i="6"/>
  <c r="K10" i="6"/>
  <c r="J10" i="6"/>
  <c r="L10" i="6" s="1"/>
  <c r="I10" i="6"/>
  <c r="H10" i="6"/>
  <c r="W9" i="4"/>
  <c r="E9" i="6" s="1"/>
  <c r="G9" i="6" s="1"/>
  <c r="V9" i="4"/>
  <c r="D9" i="6" s="1"/>
  <c r="U9" i="4"/>
  <c r="B9" i="6" s="1"/>
  <c r="T9" i="4"/>
  <c r="H8" i="4"/>
  <c r="AB9" i="4"/>
  <c r="W17" i="6"/>
  <c r="W19" i="6"/>
  <c r="W13" i="6"/>
  <c r="N22" i="6"/>
  <c r="V20" i="6"/>
  <c r="U20" i="6"/>
  <c r="U12" i="6"/>
  <c r="P24" i="5" l="1"/>
  <c r="F24" i="6" s="1"/>
  <c r="R24" i="5"/>
  <c r="N24" i="5"/>
  <c r="O24" i="5"/>
  <c r="C24" i="6" s="1"/>
  <c r="N24" i="6" s="1"/>
  <c r="Q24" i="5"/>
  <c r="D32" i="8" s="1"/>
  <c r="F25" i="5"/>
  <c r="Y21" i="6"/>
  <c r="P21" i="6"/>
  <c r="X21" i="6"/>
  <c r="O22" i="6"/>
  <c r="R22" i="6"/>
  <c r="T22" i="6"/>
  <c r="G22" i="7"/>
  <c r="Q22" i="6"/>
  <c r="S22" i="6"/>
  <c r="H30" i="8"/>
  <c r="I23" i="6"/>
  <c r="K23" i="6"/>
  <c r="H23" i="6"/>
  <c r="L23" i="6" s="1"/>
  <c r="J23" i="6"/>
  <c r="M23" i="6"/>
  <c r="T24" i="4"/>
  <c r="X24" i="4"/>
  <c r="C32" i="8" s="1"/>
  <c r="U24" i="4"/>
  <c r="B24" i="6" s="1"/>
  <c r="V24" i="4"/>
  <c r="D24" i="6" s="1"/>
  <c r="W24" i="4"/>
  <c r="E24" i="6" s="1"/>
  <c r="G24" i="6" s="1"/>
  <c r="Y24" i="4"/>
  <c r="Z24" i="4"/>
  <c r="E32" i="8" s="1"/>
  <c r="AA24" i="4"/>
  <c r="F32" i="8" s="1"/>
  <c r="G25" i="4"/>
  <c r="P11" i="6"/>
  <c r="X11" i="6"/>
  <c r="Y11" i="6"/>
  <c r="W11" i="6"/>
  <c r="O10" i="6"/>
  <c r="Q10" i="6"/>
  <c r="R10" i="6"/>
  <c r="S10" i="6"/>
  <c r="T10" i="6"/>
  <c r="G10" i="7"/>
  <c r="H18" i="8"/>
  <c r="M9" i="6"/>
  <c r="K9" i="6"/>
  <c r="J9" i="6"/>
  <c r="I9" i="6"/>
  <c r="H9" i="6"/>
  <c r="L9" i="6" s="1"/>
  <c r="W8" i="4"/>
  <c r="E8" i="6" s="1"/>
  <c r="G8" i="6" s="1"/>
  <c r="V8" i="4"/>
  <c r="D8" i="6" s="1"/>
  <c r="U8" i="4"/>
  <c r="B8" i="6" s="1"/>
  <c r="T8" i="4"/>
  <c r="H7" i="4"/>
  <c r="AB8" i="4"/>
  <c r="W20" i="6"/>
  <c r="W12" i="6"/>
  <c r="V21" i="6"/>
  <c r="U21" i="6"/>
  <c r="G23" i="6"/>
  <c r="N23" i="6"/>
  <c r="N25" i="5" l="1"/>
  <c r="P25" i="5"/>
  <c r="F25" i="6" s="1"/>
  <c r="Q25" i="5"/>
  <c r="D33" i="8" s="1"/>
  <c r="R25" i="5"/>
  <c r="O25" i="5"/>
  <c r="C25" i="6" s="1"/>
  <c r="N25" i="6" s="1"/>
  <c r="F26" i="5"/>
  <c r="Y22" i="6"/>
  <c r="P22" i="6"/>
  <c r="X22" i="6"/>
  <c r="R23" i="6"/>
  <c r="T23" i="6"/>
  <c r="G23" i="7"/>
  <c r="Q23" i="6"/>
  <c r="S23" i="6"/>
  <c r="H31" i="8"/>
  <c r="O23" i="6"/>
  <c r="H24" i="6"/>
  <c r="L24" i="6" s="1"/>
  <c r="J24" i="6"/>
  <c r="M24" i="6"/>
  <c r="I24" i="6"/>
  <c r="K24" i="6"/>
  <c r="T25" i="4"/>
  <c r="U25" i="4"/>
  <c r="B25" i="6" s="1"/>
  <c r="V25" i="4"/>
  <c r="D25" i="6" s="1"/>
  <c r="W25" i="4"/>
  <c r="E25" i="6" s="1"/>
  <c r="G25" i="6" s="1"/>
  <c r="X25" i="4"/>
  <c r="C33" i="8" s="1"/>
  <c r="G5" i="8" s="1"/>
  <c r="Y25" i="4"/>
  <c r="Z25" i="4"/>
  <c r="E33" i="8" s="1"/>
  <c r="G7" i="8" s="1"/>
  <c r="AA25" i="4"/>
  <c r="F33" i="8" s="1"/>
  <c r="P10" i="6"/>
  <c r="X10" i="6"/>
  <c r="Y10" i="6"/>
  <c r="O9" i="6"/>
  <c r="Q9" i="6"/>
  <c r="R9" i="6"/>
  <c r="S9" i="6"/>
  <c r="T9" i="6"/>
  <c r="G9" i="7"/>
  <c r="H17" i="8"/>
  <c r="M8" i="6"/>
  <c r="K8" i="6"/>
  <c r="J8" i="6"/>
  <c r="I8" i="6"/>
  <c r="H8" i="6"/>
  <c r="L8" i="6" s="1"/>
  <c r="V7" i="4"/>
  <c r="D7" i="6" s="1"/>
  <c r="W7" i="4"/>
  <c r="E7" i="6" s="1"/>
  <c r="G7" i="6" s="1"/>
  <c r="U7" i="4"/>
  <c r="B7" i="6" s="1"/>
  <c r="T7" i="4"/>
  <c r="H6" i="4"/>
  <c r="AB7" i="4"/>
  <c r="W21" i="6"/>
  <c r="V22" i="6"/>
  <c r="U10" i="6"/>
  <c r="V10" i="6"/>
  <c r="U22" i="6"/>
  <c r="N26" i="5" l="1"/>
  <c r="O26" i="5"/>
  <c r="C26" i="6" s="1"/>
  <c r="P26" i="5"/>
  <c r="F26" i="6" s="1"/>
  <c r="G26" i="6" s="1"/>
  <c r="Q26" i="5"/>
  <c r="D34" i="8" s="1"/>
  <c r="R26" i="5"/>
  <c r="F34" i="8" s="1"/>
  <c r="F27" i="5"/>
  <c r="Y23" i="6"/>
  <c r="P23" i="6"/>
  <c r="X23" i="6"/>
  <c r="O24" i="6"/>
  <c r="Q24" i="6"/>
  <c r="R24" i="6"/>
  <c r="S24" i="6"/>
  <c r="T24" i="6"/>
  <c r="H32" i="8"/>
  <c r="G24" i="7"/>
  <c r="I25" i="6"/>
  <c r="K25" i="6"/>
  <c r="H25" i="6"/>
  <c r="L25" i="6" s="1"/>
  <c r="J25" i="6"/>
  <c r="M25" i="6"/>
  <c r="P9" i="6"/>
  <c r="X9" i="6"/>
  <c r="Y9" i="6"/>
  <c r="O8" i="6"/>
  <c r="Q8" i="6"/>
  <c r="R8" i="6"/>
  <c r="S8" i="6"/>
  <c r="T8" i="6"/>
  <c r="G8" i="7"/>
  <c r="H16" i="8"/>
  <c r="M7" i="6"/>
  <c r="K7" i="6"/>
  <c r="J7" i="6"/>
  <c r="I7" i="6"/>
  <c r="H7" i="6"/>
  <c r="L7" i="6" s="1"/>
  <c r="W6" i="4"/>
  <c r="E6" i="6" s="1"/>
  <c r="G6" i="6" s="1"/>
  <c r="U6" i="4"/>
  <c r="B6" i="6" s="1"/>
  <c r="V6" i="4"/>
  <c r="D6" i="6" s="1"/>
  <c r="T6" i="4"/>
  <c r="B6" i="2" s="1"/>
  <c r="AB6" i="4"/>
  <c r="D20" i="2" s="1"/>
  <c r="W10" i="6"/>
  <c r="W22" i="6"/>
  <c r="V23" i="6"/>
  <c r="U23" i="6"/>
  <c r="U9" i="6"/>
  <c r="V9" i="6"/>
  <c r="N26" i="6" l="1"/>
  <c r="H26" i="6"/>
  <c r="I26" i="6"/>
  <c r="J26" i="6"/>
  <c r="K26" i="6"/>
  <c r="N27" i="5"/>
  <c r="O27" i="5"/>
  <c r="C27" i="6" s="1"/>
  <c r="P27" i="5"/>
  <c r="F27" i="6" s="1"/>
  <c r="G27" i="6" s="1"/>
  <c r="Q27" i="5"/>
  <c r="D35" i="8" s="1"/>
  <c r="R27" i="5"/>
  <c r="F35" i="8" s="1"/>
  <c r="F28" i="5"/>
  <c r="P24" i="6"/>
  <c r="X24" i="6"/>
  <c r="Y24" i="6"/>
  <c r="Q25" i="6"/>
  <c r="S25" i="6"/>
  <c r="H33" i="8"/>
  <c r="R25" i="6"/>
  <c r="T25" i="6"/>
  <c r="G25" i="7"/>
  <c r="E25" i="7"/>
  <c r="E24" i="7" s="1"/>
  <c r="E23" i="7" s="1"/>
  <c r="E22" i="7" s="1"/>
  <c r="E21" i="7" s="1"/>
  <c r="E20" i="7" s="1"/>
  <c r="E19" i="7" s="1"/>
  <c r="E18" i="7" s="1"/>
  <c r="E17" i="7" s="1"/>
  <c r="E16" i="7" s="1"/>
  <c r="E15" i="7" s="1"/>
  <c r="E14" i="7" s="1"/>
  <c r="E13" i="7" s="1"/>
  <c r="E12" i="7" s="1"/>
  <c r="E11" i="7" s="1"/>
  <c r="E10" i="7" s="1"/>
  <c r="E9" i="7" s="1"/>
  <c r="E8" i="7" s="1"/>
  <c r="E7" i="7" s="1"/>
  <c r="O25" i="6"/>
  <c r="P8" i="6"/>
  <c r="X8" i="6"/>
  <c r="Y8" i="6"/>
  <c r="O7" i="6"/>
  <c r="Q7" i="6"/>
  <c r="R7" i="6"/>
  <c r="S7" i="6"/>
  <c r="T7" i="6"/>
  <c r="G7" i="7"/>
  <c r="H15" i="8"/>
  <c r="H6" i="6"/>
  <c r="I6" i="6"/>
  <c r="J6" i="6"/>
  <c r="K6" i="6"/>
  <c r="L6" i="6"/>
  <c r="M6" i="6"/>
  <c r="D6" i="2"/>
  <c r="W23" i="6"/>
  <c r="W9" i="6"/>
  <c r="U24" i="6"/>
  <c r="V24" i="6"/>
  <c r="U8" i="6"/>
  <c r="V8" i="6"/>
  <c r="O26" i="6" l="1"/>
  <c r="H27" i="6"/>
  <c r="I27" i="6"/>
  <c r="J27" i="6"/>
  <c r="K27" i="6"/>
  <c r="N27" i="6"/>
  <c r="N28" i="5"/>
  <c r="O28" i="5"/>
  <c r="C28" i="6" s="1"/>
  <c r="P28" i="5"/>
  <c r="F28" i="6" s="1"/>
  <c r="G28" i="6" s="1"/>
  <c r="Q28" i="5"/>
  <c r="D36" i="8" s="1"/>
  <c r="R28" i="5"/>
  <c r="F36" i="8" s="1"/>
  <c r="F29" i="5"/>
  <c r="Y25" i="6"/>
  <c r="P25" i="6"/>
  <c r="X25" i="6"/>
  <c r="P7" i="6"/>
  <c r="X7" i="6"/>
  <c r="Y7" i="6"/>
  <c r="Q6" i="6"/>
  <c r="R6" i="6"/>
  <c r="S6" i="6"/>
  <c r="D7" i="8" s="1"/>
  <c r="E7" i="8" s="1"/>
  <c r="F7" i="8" s="1"/>
  <c r="H7" i="8" s="1"/>
  <c r="T6" i="6"/>
  <c r="D8" i="8" s="1"/>
  <c r="E8" i="8" s="1"/>
  <c r="F8" i="8" s="1"/>
  <c r="G6" i="7"/>
  <c r="H14" i="8"/>
  <c r="B5" i="9"/>
  <c r="C5" i="9" s="1"/>
  <c r="D8" i="2"/>
  <c r="O6" i="6"/>
  <c r="E6" i="7"/>
  <c r="B6" i="9"/>
  <c r="C6" i="9" s="1"/>
  <c r="B7" i="2"/>
  <c r="D7" i="2" s="1"/>
  <c r="W24" i="6"/>
  <c r="W8" i="6"/>
  <c r="V25" i="6"/>
  <c r="U7" i="6"/>
  <c r="V7" i="6"/>
  <c r="L26" i="6"/>
  <c r="U25" i="6"/>
  <c r="Y26" i="6" l="1"/>
  <c r="X26" i="6"/>
  <c r="P26" i="6"/>
  <c r="O27" i="6"/>
  <c r="H28" i="6"/>
  <c r="I28" i="6"/>
  <c r="J28" i="6"/>
  <c r="K28" i="6"/>
  <c r="N28" i="6"/>
  <c r="N29" i="5"/>
  <c r="O29" i="5"/>
  <c r="C29" i="6" s="1"/>
  <c r="P29" i="5"/>
  <c r="F29" i="6" s="1"/>
  <c r="G29" i="6" s="1"/>
  <c r="Q29" i="5"/>
  <c r="D37" i="8" s="1"/>
  <c r="R29" i="5"/>
  <c r="F37" i="8" s="1"/>
  <c r="F30" i="5"/>
  <c r="U6" i="6"/>
  <c r="D5" i="8"/>
  <c r="E5" i="8" s="1"/>
  <c r="V6" i="6"/>
  <c r="D6" i="8"/>
  <c r="E6" i="8" s="1"/>
  <c r="F6" i="8" s="1"/>
  <c r="P6" i="6"/>
  <c r="X6" i="6"/>
  <c r="Y6" i="6"/>
  <c r="D6" i="9"/>
  <c r="E6" i="9" s="1"/>
  <c r="F6" i="9" s="1"/>
  <c r="B9" i="2"/>
  <c r="W7" i="6"/>
  <c r="T26" i="6"/>
  <c r="S26" i="6"/>
  <c r="R26" i="6"/>
  <c r="V26" i="6" s="1"/>
  <c r="Q26" i="6"/>
  <c r="U26" i="6" s="1"/>
  <c r="H34" i="8"/>
  <c r="G26" i="7"/>
  <c r="W25" i="6"/>
  <c r="L27" i="6"/>
  <c r="Y27" i="6" l="1"/>
  <c r="X27" i="6"/>
  <c r="P27" i="6"/>
  <c r="O28" i="6"/>
  <c r="H29" i="6"/>
  <c r="I29" i="6"/>
  <c r="J29" i="6"/>
  <c r="K29" i="6"/>
  <c r="N29" i="6"/>
  <c r="N30" i="5"/>
  <c r="O30" i="5"/>
  <c r="C30" i="6" s="1"/>
  <c r="P30" i="5"/>
  <c r="F30" i="6" s="1"/>
  <c r="G30" i="6" s="1"/>
  <c r="Q30" i="5"/>
  <c r="D38" i="8" s="1"/>
  <c r="G38" i="8" s="1"/>
  <c r="R30" i="5"/>
  <c r="F38" i="8" s="1"/>
  <c r="F31" i="5"/>
  <c r="W6" i="6"/>
  <c r="B8" i="2"/>
  <c r="G21" i="8"/>
  <c r="I21" i="8" s="1"/>
  <c r="G20" i="8"/>
  <c r="I20" i="8" s="1"/>
  <c r="G19" i="8"/>
  <c r="I19" i="8" s="1"/>
  <c r="G18" i="8"/>
  <c r="I18" i="8" s="1"/>
  <c r="G17" i="8"/>
  <c r="I17" i="8" s="1"/>
  <c r="G16" i="8"/>
  <c r="I16" i="8" s="1"/>
  <c r="G15" i="8"/>
  <c r="I15" i="8" s="1"/>
  <c r="G14" i="8"/>
  <c r="I14" i="8" s="1"/>
  <c r="G37" i="8"/>
  <c r="G36" i="8"/>
  <c r="G35" i="8"/>
  <c r="G34" i="8"/>
  <c r="I34" i="8" s="1"/>
  <c r="G33" i="8"/>
  <c r="I33" i="8" s="1"/>
  <c r="G32" i="8"/>
  <c r="I32" i="8" s="1"/>
  <c r="G31" i="8"/>
  <c r="I31" i="8" s="1"/>
  <c r="G30" i="8"/>
  <c r="I30" i="8" s="1"/>
  <c r="G29" i="8"/>
  <c r="I29" i="8" s="1"/>
  <c r="G28" i="8"/>
  <c r="I28" i="8" s="1"/>
  <c r="G27" i="8"/>
  <c r="I27" i="8" s="1"/>
  <c r="G26" i="8"/>
  <c r="I26" i="8" s="1"/>
  <c r="G25" i="8"/>
  <c r="I25" i="8" s="1"/>
  <c r="G24" i="8"/>
  <c r="I24" i="8" s="1"/>
  <c r="G23" i="8"/>
  <c r="I23" i="8" s="1"/>
  <c r="G22" i="8"/>
  <c r="I22" i="8" s="1"/>
  <c r="F5" i="8"/>
  <c r="H5" i="8" s="1"/>
  <c r="C8" i="2"/>
  <c r="W26" i="6"/>
  <c r="H35" i="8"/>
  <c r="I35" i="8" s="1"/>
  <c r="G27" i="7"/>
  <c r="T27" i="6"/>
  <c r="S27" i="6"/>
  <c r="R27" i="6"/>
  <c r="V27" i="6" s="1"/>
  <c r="Q27" i="6"/>
  <c r="L28" i="6"/>
  <c r="Y28" i="6" l="1"/>
  <c r="P28" i="6"/>
  <c r="X28" i="6"/>
  <c r="O29" i="6"/>
  <c r="H30" i="6"/>
  <c r="I30" i="6"/>
  <c r="J30" i="6"/>
  <c r="K30" i="6"/>
  <c r="N30" i="6"/>
  <c r="N31" i="5"/>
  <c r="O31" i="5"/>
  <c r="C31" i="6" s="1"/>
  <c r="P31" i="5"/>
  <c r="F31" i="6" s="1"/>
  <c r="G31" i="6" s="1"/>
  <c r="Q31" i="5"/>
  <c r="D39" i="8" s="1"/>
  <c r="R31" i="5"/>
  <c r="F39" i="8" s="1"/>
  <c r="F32" i="5"/>
  <c r="G28" i="7"/>
  <c r="S28" i="6"/>
  <c r="Q28" i="6"/>
  <c r="H36" i="8"/>
  <c r="I36" i="8" s="1"/>
  <c r="T28" i="6"/>
  <c r="R28" i="6"/>
  <c r="V28" i="6" s="1"/>
  <c r="L29" i="6"/>
  <c r="U27" i="6"/>
  <c r="Y29" i="6" l="1"/>
  <c r="X29" i="6"/>
  <c r="P29" i="6"/>
  <c r="O30" i="6"/>
  <c r="H31" i="6"/>
  <c r="I31" i="6"/>
  <c r="J31" i="6"/>
  <c r="K31" i="6"/>
  <c r="N31" i="6"/>
  <c r="G39" i="8"/>
  <c r="N32" i="5"/>
  <c r="O32" i="5"/>
  <c r="C32" i="6" s="1"/>
  <c r="P32" i="5"/>
  <c r="F32" i="6" s="1"/>
  <c r="G32" i="6" s="1"/>
  <c r="Q32" i="5"/>
  <c r="D40" i="8" s="1"/>
  <c r="R32" i="5"/>
  <c r="F40" i="8" s="1"/>
  <c r="F33" i="5"/>
  <c r="H37" i="8"/>
  <c r="I37" i="8" s="1"/>
  <c r="T29" i="6"/>
  <c r="R29" i="6"/>
  <c r="V29" i="6" s="1"/>
  <c r="G29" i="7"/>
  <c r="S29" i="6"/>
  <c r="Q29" i="6"/>
  <c r="U29" i="6" s="1"/>
  <c r="W27" i="6"/>
  <c r="L30" i="6"/>
  <c r="U28" i="6"/>
  <c r="Y30" i="6" l="1"/>
  <c r="P30" i="6"/>
  <c r="X30" i="6"/>
  <c r="O31" i="6"/>
  <c r="I32" i="6"/>
  <c r="J32" i="6"/>
  <c r="H32" i="6"/>
  <c r="K32" i="6"/>
  <c r="N32" i="6"/>
  <c r="N33" i="5"/>
  <c r="O33" i="5"/>
  <c r="C33" i="6" s="1"/>
  <c r="P33" i="5"/>
  <c r="F33" i="6" s="1"/>
  <c r="G33" i="6" s="1"/>
  <c r="Q33" i="5"/>
  <c r="D41" i="8" s="1"/>
  <c r="R33" i="5"/>
  <c r="F41" i="8" s="1"/>
  <c r="F34" i="5"/>
  <c r="W29" i="6"/>
  <c r="G30" i="7"/>
  <c r="S30" i="6"/>
  <c r="Q30" i="6"/>
  <c r="U30" i="6" s="1"/>
  <c r="H38" i="8"/>
  <c r="I38" i="8" s="1"/>
  <c r="T30" i="6"/>
  <c r="R30" i="6"/>
  <c r="V30" i="6" s="1"/>
  <c r="W28" i="6"/>
  <c r="L31" i="6"/>
  <c r="G40" i="8"/>
  <c r="X31" i="6" l="1"/>
  <c r="P31" i="6"/>
  <c r="Y31" i="6"/>
  <c r="O32" i="6"/>
  <c r="H33" i="6"/>
  <c r="I33" i="6"/>
  <c r="J33" i="6"/>
  <c r="K33" i="6"/>
  <c r="N33" i="6"/>
  <c r="G41" i="8"/>
  <c r="N34" i="5"/>
  <c r="O34" i="5"/>
  <c r="C34" i="6" s="1"/>
  <c r="P34" i="5"/>
  <c r="F34" i="6" s="1"/>
  <c r="G34" i="6" s="1"/>
  <c r="Q34" i="5"/>
  <c r="D42" i="8" s="1"/>
  <c r="R34" i="5"/>
  <c r="F42" i="8" s="1"/>
  <c r="F35" i="5"/>
  <c r="W30" i="6"/>
  <c r="H39" i="8"/>
  <c r="I39" i="8" s="1"/>
  <c r="S31" i="6"/>
  <c r="Q31" i="6"/>
  <c r="G31" i="7"/>
  <c r="T31" i="6"/>
  <c r="R31" i="6"/>
  <c r="V31" i="6" s="1"/>
  <c r="L32" i="6"/>
  <c r="Y32" i="6" l="1"/>
  <c r="X32" i="6"/>
  <c r="P32" i="6"/>
  <c r="O33" i="6"/>
  <c r="H34" i="6"/>
  <c r="I34" i="6"/>
  <c r="J34" i="6"/>
  <c r="K34" i="6"/>
  <c r="N34" i="6"/>
  <c r="N35" i="5"/>
  <c r="O35" i="5"/>
  <c r="C35" i="6" s="1"/>
  <c r="P35" i="5"/>
  <c r="F35" i="6" s="1"/>
  <c r="G35" i="6" s="1"/>
  <c r="Q35" i="5"/>
  <c r="D43" i="8" s="1"/>
  <c r="R35" i="5"/>
  <c r="F43" i="8" s="1"/>
  <c r="F36" i="5"/>
  <c r="H40" i="8"/>
  <c r="I40" i="8" s="1"/>
  <c r="T32" i="6"/>
  <c r="S32" i="6"/>
  <c r="R32" i="6"/>
  <c r="V32" i="6" s="1"/>
  <c r="Q32" i="6"/>
  <c r="U32" i="6" s="1"/>
  <c r="G32" i="7"/>
  <c r="L33" i="6"/>
  <c r="U31" i="6"/>
  <c r="G42" i="8"/>
  <c r="Y33" i="6" l="1"/>
  <c r="P33" i="6"/>
  <c r="X33" i="6"/>
  <c r="O34" i="6"/>
  <c r="H35" i="6"/>
  <c r="I35" i="6"/>
  <c r="J35" i="6"/>
  <c r="K35" i="6"/>
  <c r="N35" i="6"/>
  <c r="N36" i="5"/>
  <c r="O36" i="5"/>
  <c r="C36" i="6" s="1"/>
  <c r="P36" i="5"/>
  <c r="F36" i="6" s="1"/>
  <c r="G36" i="6" s="1"/>
  <c r="Q36" i="5"/>
  <c r="D44" i="8" s="1"/>
  <c r="R36" i="5"/>
  <c r="F44" i="8" s="1"/>
  <c r="F37" i="5"/>
  <c r="W32" i="6"/>
  <c r="H41" i="8"/>
  <c r="I41" i="8" s="1"/>
  <c r="S33" i="6"/>
  <c r="Q33" i="6"/>
  <c r="G33" i="7"/>
  <c r="T33" i="6"/>
  <c r="R33" i="6"/>
  <c r="V33" i="6" s="1"/>
  <c r="W31" i="6"/>
  <c r="L34" i="6"/>
  <c r="G43" i="8"/>
  <c r="X34" i="6" l="1"/>
  <c r="P34" i="6"/>
  <c r="Y34" i="6"/>
  <c r="O35" i="6"/>
  <c r="I36" i="6"/>
  <c r="K36" i="6"/>
  <c r="N36" i="6"/>
  <c r="H36" i="6"/>
  <c r="J36" i="6"/>
  <c r="N37" i="5"/>
  <c r="O37" i="5"/>
  <c r="C37" i="6" s="1"/>
  <c r="P37" i="5"/>
  <c r="F37" i="6" s="1"/>
  <c r="G37" i="6" s="1"/>
  <c r="Q37" i="5"/>
  <c r="D45" i="8" s="1"/>
  <c r="R37" i="5"/>
  <c r="F45" i="8" s="1"/>
  <c r="F38" i="5"/>
  <c r="G34" i="7"/>
  <c r="S34" i="6"/>
  <c r="Q34" i="6"/>
  <c r="H42" i="8"/>
  <c r="I42" i="8" s="1"/>
  <c r="T34" i="6"/>
  <c r="R34" i="6"/>
  <c r="V34" i="6" s="1"/>
  <c r="L35" i="6"/>
  <c r="G44" i="8"/>
  <c r="U33" i="6"/>
  <c r="X35" i="6" l="1"/>
  <c r="P35" i="6"/>
  <c r="Y35" i="6"/>
  <c r="O36" i="6"/>
  <c r="N37" i="6"/>
  <c r="H37" i="6"/>
  <c r="I37" i="6"/>
  <c r="J37" i="6"/>
  <c r="K37" i="6"/>
  <c r="G45" i="8"/>
  <c r="N38" i="5"/>
  <c r="O38" i="5"/>
  <c r="C38" i="6" s="1"/>
  <c r="P38" i="5"/>
  <c r="F38" i="6" s="1"/>
  <c r="G38" i="6" s="1"/>
  <c r="Q38" i="5"/>
  <c r="D46" i="8" s="1"/>
  <c r="R38" i="5"/>
  <c r="F46" i="8" s="1"/>
  <c r="F39" i="5"/>
  <c r="H43" i="8"/>
  <c r="I43" i="8" s="1"/>
  <c r="S35" i="6"/>
  <c r="Q35" i="6"/>
  <c r="G35" i="7"/>
  <c r="T35" i="6"/>
  <c r="R35" i="6"/>
  <c r="V35" i="6" s="1"/>
  <c r="W33" i="6"/>
  <c r="U34" i="6"/>
  <c r="L36" i="6"/>
  <c r="X36" i="6" l="1"/>
  <c r="Y36" i="6"/>
  <c r="P36" i="6"/>
  <c r="O37" i="6"/>
  <c r="H38" i="6"/>
  <c r="N38" i="6"/>
  <c r="I38" i="6"/>
  <c r="J38" i="6"/>
  <c r="K38" i="6"/>
  <c r="N39" i="5"/>
  <c r="O39" i="5"/>
  <c r="C39" i="6" s="1"/>
  <c r="P39" i="5"/>
  <c r="F39" i="6" s="1"/>
  <c r="G39" i="6" s="1"/>
  <c r="Q39" i="5"/>
  <c r="D47" i="8" s="1"/>
  <c r="R39" i="5"/>
  <c r="F47" i="8" s="1"/>
  <c r="F40" i="5"/>
  <c r="W34" i="6"/>
  <c r="H44" i="8"/>
  <c r="I44" i="8" s="1"/>
  <c r="T36" i="6"/>
  <c r="S36" i="6"/>
  <c r="R36" i="6"/>
  <c r="V36" i="6" s="1"/>
  <c r="Q36" i="6"/>
  <c r="G36" i="7"/>
  <c r="U35" i="6"/>
  <c r="L37" i="6"/>
  <c r="G46" i="8"/>
  <c r="Y37" i="6" l="1"/>
  <c r="P37" i="6"/>
  <c r="X37" i="6"/>
  <c r="O38" i="6"/>
  <c r="H39" i="6"/>
  <c r="J39" i="6"/>
  <c r="N39" i="6"/>
  <c r="I39" i="6"/>
  <c r="K39" i="6"/>
  <c r="N40" i="5"/>
  <c r="O40" i="5"/>
  <c r="C40" i="6" s="1"/>
  <c r="P40" i="5"/>
  <c r="F40" i="6" s="1"/>
  <c r="G40" i="6" s="1"/>
  <c r="Q40" i="5"/>
  <c r="D48" i="8" s="1"/>
  <c r="R40" i="5"/>
  <c r="F48" i="8" s="1"/>
  <c r="F41" i="5"/>
  <c r="W35" i="6"/>
  <c r="H45" i="8"/>
  <c r="I45" i="8" s="1"/>
  <c r="T37" i="6"/>
  <c r="R37" i="6"/>
  <c r="V37" i="6" s="1"/>
  <c r="G37" i="7"/>
  <c r="S37" i="6"/>
  <c r="Q37" i="6"/>
  <c r="L38" i="6"/>
  <c r="G47" i="8"/>
  <c r="U36" i="6"/>
  <c r="Y38" i="6" l="1"/>
  <c r="X38" i="6"/>
  <c r="P38" i="6"/>
  <c r="O39" i="6"/>
  <c r="H40" i="6"/>
  <c r="J40" i="6"/>
  <c r="N40" i="6"/>
  <c r="I40" i="6"/>
  <c r="K40" i="6"/>
  <c r="G48" i="8"/>
  <c r="N41" i="5"/>
  <c r="O41" i="5"/>
  <c r="C41" i="6" s="1"/>
  <c r="P41" i="5"/>
  <c r="F41" i="6" s="1"/>
  <c r="G41" i="6" s="1"/>
  <c r="Q41" i="5"/>
  <c r="D49" i="8" s="1"/>
  <c r="R41" i="5"/>
  <c r="F49" i="8" s="1"/>
  <c r="F42" i="5"/>
  <c r="H46" i="8"/>
  <c r="I46" i="8" s="1"/>
  <c r="S38" i="6"/>
  <c r="Q38" i="6"/>
  <c r="G38" i="7"/>
  <c r="T38" i="6"/>
  <c r="R38" i="6"/>
  <c r="V38" i="6" s="1"/>
  <c r="W36" i="6"/>
  <c r="L39" i="6"/>
  <c r="U37" i="6"/>
  <c r="P39" i="6" l="1"/>
  <c r="Y39" i="6"/>
  <c r="X39" i="6"/>
  <c r="O40" i="6"/>
  <c r="I41" i="6"/>
  <c r="H41" i="6"/>
  <c r="J41" i="6"/>
  <c r="K41" i="6"/>
  <c r="N41" i="6"/>
  <c r="N42" i="5"/>
  <c r="O42" i="5"/>
  <c r="C42" i="6" s="1"/>
  <c r="P42" i="5"/>
  <c r="F42" i="6" s="1"/>
  <c r="G42" i="6" s="1"/>
  <c r="Q42" i="5"/>
  <c r="D50" i="8" s="1"/>
  <c r="R42" i="5"/>
  <c r="F50" i="8" s="1"/>
  <c r="F43" i="5"/>
  <c r="G39" i="7"/>
  <c r="S39" i="6"/>
  <c r="H47" i="8"/>
  <c r="I47" i="8" s="1"/>
  <c r="T39" i="6"/>
  <c r="R39" i="6"/>
  <c r="V39" i="6" s="1"/>
  <c r="Q39" i="6"/>
  <c r="W37" i="6"/>
  <c r="L40" i="6"/>
  <c r="U38" i="6"/>
  <c r="G49" i="8"/>
  <c r="Y40" i="6" l="1"/>
  <c r="P40" i="6"/>
  <c r="X40" i="6"/>
  <c r="O41" i="6"/>
  <c r="H42" i="6"/>
  <c r="J42" i="6"/>
  <c r="K42" i="6"/>
  <c r="N42" i="6"/>
  <c r="I42" i="6"/>
  <c r="G50" i="8"/>
  <c r="N43" i="5"/>
  <c r="O43" i="5"/>
  <c r="C43" i="6" s="1"/>
  <c r="P43" i="5"/>
  <c r="F43" i="6" s="1"/>
  <c r="G43" i="6" s="1"/>
  <c r="Q43" i="5"/>
  <c r="D51" i="8" s="1"/>
  <c r="R43" i="5"/>
  <c r="F51" i="8" s="1"/>
  <c r="F44" i="5"/>
  <c r="H48" i="8"/>
  <c r="I48" i="8" s="1"/>
  <c r="S40" i="6"/>
  <c r="Q40" i="6"/>
  <c r="G40" i="7"/>
  <c r="T40" i="6"/>
  <c r="R40" i="6"/>
  <c r="V40" i="6" s="1"/>
  <c r="W38" i="6"/>
  <c r="L41" i="6"/>
  <c r="U39" i="6"/>
  <c r="P41" i="6" l="1"/>
  <c r="Y41" i="6"/>
  <c r="X41" i="6"/>
  <c r="O42" i="6"/>
  <c r="H43" i="6"/>
  <c r="I43" i="6"/>
  <c r="J43" i="6"/>
  <c r="K43" i="6"/>
  <c r="N43" i="6"/>
  <c r="N44" i="5"/>
  <c r="O44" i="5"/>
  <c r="C44" i="6" s="1"/>
  <c r="P44" i="5"/>
  <c r="F44" i="6" s="1"/>
  <c r="G44" i="6" s="1"/>
  <c r="Q44" i="5"/>
  <c r="D52" i="8" s="1"/>
  <c r="R44" i="5"/>
  <c r="F52" i="8" s="1"/>
  <c r="F45" i="5"/>
  <c r="T41" i="6"/>
  <c r="R41" i="6"/>
  <c r="V41" i="6" s="1"/>
  <c r="H49" i="8"/>
  <c r="I49" i="8" s="1"/>
  <c r="S41" i="6"/>
  <c r="Q41" i="6"/>
  <c r="U41" i="6" s="1"/>
  <c r="G41" i="7"/>
  <c r="W39" i="6"/>
  <c r="G51" i="8"/>
  <c r="U40" i="6"/>
  <c r="L42" i="6"/>
  <c r="Y42" i="6" l="1"/>
  <c r="X42" i="6"/>
  <c r="P42" i="6"/>
  <c r="O43" i="6"/>
  <c r="H44" i="6"/>
  <c r="J44" i="6"/>
  <c r="K44" i="6"/>
  <c r="N44" i="6"/>
  <c r="I44" i="6"/>
  <c r="G52" i="8"/>
  <c r="N45" i="5"/>
  <c r="O45" i="5"/>
  <c r="C45" i="6" s="1"/>
  <c r="P45" i="5"/>
  <c r="F45" i="6" s="1"/>
  <c r="G45" i="6" s="1"/>
  <c r="Q45" i="5"/>
  <c r="D53" i="8" s="1"/>
  <c r="R45" i="5"/>
  <c r="F53" i="8" s="1"/>
  <c r="F46" i="5"/>
  <c r="W41" i="6"/>
  <c r="W40" i="6"/>
  <c r="G42" i="7"/>
  <c r="Q42" i="6"/>
  <c r="H50" i="8"/>
  <c r="I50" i="8" s="1"/>
  <c r="T42" i="6"/>
  <c r="S42" i="6"/>
  <c r="R42" i="6"/>
  <c r="V42" i="6" s="1"/>
  <c r="L43" i="6"/>
  <c r="X43" i="6" l="1"/>
  <c r="P43" i="6"/>
  <c r="Y43" i="6"/>
  <c r="O44" i="6"/>
  <c r="H45" i="6"/>
  <c r="I45" i="6"/>
  <c r="J45" i="6"/>
  <c r="K45" i="6"/>
  <c r="N45" i="6"/>
  <c r="N46" i="5"/>
  <c r="O46" i="5"/>
  <c r="C46" i="6" s="1"/>
  <c r="P46" i="5"/>
  <c r="F46" i="6" s="1"/>
  <c r="G46" i="6" s="1"/>
  <c r="Q46" i="5"/>
  <c r="D54" i="8" s="1"/>
  <c r="R46" i="5"/>
  <c r="F54" i="8" s="1"/>
  <c r="F47" i="5"/>
  <c r="G43" i="7"/>
  <c r="S43" i="6"/>
  <c r="Q43" i="6"/>
  <c r="H51" i="8"/>
  <c r="I51" i="8" s="1"/>
  <c r="T43" i="6"/>
  <c r="R43" i="6"/>
  <c r="V43" i="6" s="1"/>
  <c r="L44" i="6"/>
  <c r="G53" i="8"/>
  <c r="U42" i="6"/>
  <c r="Y44" i="6" l="1"/>
  <c r="X44" i="6"/>
  <c r="P44" i="6"/>
  <c r="O45" i="6"/>
  <c r="H46" i="6"/>
  <c r="I46" i="6"/>
  <c r="J46" i="6"/>
  <c r="K46" i="6"/>
  <c r="N46" i="6"/>
  <c r="G54" i="8"/>
  <c r="N47" i="5"/>
  <c r="O47" i="5"/>
  <c r="C47" i="6" s="1"/>
  <c r="P47" i="5"/>
  <c r="F47" i="6" s="1"/>
  <c r="G47" i="6" s="1"/>
  <c r="Q47" i="5"/>
  <c r="D55" i="8" s="1"/>
  <c r="R47" i="5"/>
  <c r="F55" i="8" s="1"/>
  <c r="F48" i="5"/>
  <c r="H52" i="8"/>
  <c r="I52" i="8" s="1"/>
  <c r="T44" i="6"/>
  <c r="S44" i="6"/>
  <c r="R44" i="6"/>
  <c r="V44" i="6" s="1"/>
  <c r="Q44" i="6"/>
  <c r="G44" i="7"/>
  <c r="W42" i="6"/>
  <c r="U43" i="6"/>
  <c r="L45" i="6"/>
  <c r="Y45" i="6" l="1"/>
  <c r="X45" i="6"/>
  <c r="P45" i="6"/>
  <c r="O46" i="6"/>
  <c r="H47" i="6"/>
  <c r="I47" i="6"/>
  <c r="J47" i="6"/>
  <c r="K47" i="6"/>
  <c r="N47" i="6"/>
  <c r="N48" i="5"/>
  <c r="O48" i="5"/>
  <c r="C48" i="6" s="1"/>
  <c r="P48" i="5"/>
  <c r="F48" i="6" s="1"/>
  <c r="G48" i="6" s="1"/>
  <c r="Q48" i="5"/>
  <c r="D56" i="8" s="1"/>
  <c r="R48" i="5"/>
  <c r="F56" i="8" s="1"/>
  <c r="F49" i="5"/>
  <c r="W43" i="6"/>
  <c r="G45" i="7"/>
  <c r="H53" i="8"/>
  <c r="I53" i="8" s="1"/>
  <c r="Q45" i="6"/>
  <c r="U45" i="6" s="1"/>
  <c r="T45" i="6"/>
  <c r="S45" i="6"/>
  <c r="R45" i="6"/>
  <c r="V45" i="6" s="1"/>
  <c r="L46" i="6"/>
  <c r="G55" i="8"/>
  <c r="U44" i="6"/>
  <c r="Y46" i="6" l="1"/>
  <c r="X46" i="6"/>
  <c r="P46" i="6"/>
  <c r="O47" i="6"/>
  <c r="H48" i="6"/>
  <c r="K48" i="6"/>
  <c r="N48" i="6"/>
  <c r="I48" i="6"/>
  <c r="J48" i="6"/>
  <c r="G56" i="8"/>
  <c r="N49" i="5"/>
  <c r="O49" i="5"/>
  <c r="C49" i="6" s="1"/>
  <c r="P49" i="5"/>
  <c r="F49" i="6" s="1"/>
  <c r="G49" i="6" s="1"/>
  <c r="Q49" i="5"/>
  <c r="D57" i="8" s="1"/>
  <c r="R49" i="5"/>
  <c r="F57" i="8" s="1"/>
  <c r="F50" i="5"/>
  <c r="W45" i="6"/>
  <c r="G46" i="7"/>
  <c r="T46" i="6"/>
  <c r="S46" i="6"/>
  <c r="R46" i="6"/>
  <c r="Q46" i="6"/>
  <c r="H54" i="8"/>
  <c r="I54" i="8" s="1"/>
  <c r="W44" i="6"/>
  <c r="L47" i="6"/>
  <c r="Y47" i="6" l="1"/>
  <c r="X47" i="6"/>
  <c r="P47" i="6"/>
  <c r="O48" i="6"/>
  <c r="K49" i="6"/>
  <c r="H49" i="6"/>
  <c r="N49" i="6"/>
  <c r="I49" i="6"/>
  <c r="J49" i="6"/>
  <c r="N50" i="5"/>
  <c r="O50" i="5"/>
  <c r="C50" i="6" s="1"/>
  <c r="P50" i="5"/>
  <c r="F50" i="6" s="1"/>
  <c r="G50" i="6" s="1"/>
  <c r="Q50" i="5"/>
  <c r="D58" i="8" s="1"/>
  <c r="G58" i="8" s="1"/>
  <c r="R50" i="5"/>
  <c r="F58" i="8" s="1"/>
  <c r="G8" i="8" s="1"/>
  <c r="H8" i="8" s="1"/>
  <c r="H55" i="8"/>
  <c r="I55" i="8" s="1"/>
  <c r="G47" i="7"/>
  <c r="T47" i="6"/>
  <c r="S47" i="6"/>
  <c r="R47" i="6"/>
  <c r="V47" i="6" s="1"/>
  <c r="Q47" i="6"/>
  <c r="U47" i="6" s="1"/>
  <c r="L48" i="6"/>
  <c r="V46" i="6"/>
  <c r="U46" i="6"/>
  <c r="G57" i="8"/>
  <c r="G6" i="8"/>
  <c r="H6" i="8" s="1"/>
  <c r="H9" i="8" s="1"/>
  <c r="D14" i="2" s="1"/>
  <c r="X48" i="6" l="1"/>
  <c r="P48" i="6"/>
  <c r="Y48" i="6"/>
  <c r="O49" i="6"/>
  <c r="H50" i="6"/>
  <c r="I50" i="6"/>
  <c r="J50" i="6"/>
  <c r="K50" i="6"/>
  <c r="N50" i="6"/>
  <c r="W47" i="6"/>
  <c r="H56" i="8"/>
  <c r="I56" i="8" s="1"/>
  <c r="T48" i="6"/>
  <c r="R48" i="6"/>
  <c r="V48" i="6" s="1"/>
  <c r="G48" i="7"/>
  <c r="S48" i="6"/>
  <c r="Q48" i="6"/>
  <c r="U48" i="6" s="1"/>
  <c r="W46" i="6"/>
  <c r="L49" i="6"/>
  <c r="Y49" i="6" l="1"/>
  <c r="X49" i="6"/>
  <c r="P49" i="6"/>
  <c r="O50" i="6"/>
  <c r="F50" i="7"/>
  <c r="F49" i="7" s="1"/>
  <c r="F48" i="7" s="1"/>
  <c r="F47" i="7" s="1"/>
  <c r="F46" i="7" s="1"/>
  <c r="F45" i="7" s="1"/>
  <c r="F44" i="7" s="1"/>
  <c r="F43" i="7" s="1"/>
  <c r="F42" i="7" s="1"/>
  <c r="F41" i="7" s="1"/>
  <c r="F40" i="7" s="1"/>
  <c r="F39" i="7" s="1"/>
  <c r="F38" i="7" s="1"/>
  <c r="F37" i="7" s="1"/>
  <c r="F36" i="7" s="1"/>
  <c r="F35" i="7" s="1"/>
  <c r="F34" i="7" s="1"/>
  <c r="F33" i="7" s="1"/>
  <c r="F32" i="7" s="1"/>
  <c r="F31" i="7" s="1"/>
  <c r="F30" i="7" s="1"/>
  <c r="F29" i="7" s="1"/>
  <c r="F28" i="7" s="1"/>
  <c r="F27" i="7" s="1"/>
  <c r="F26" i="7" s="1"/>
  <c r="F25" i="7" s="1"/>
  <c r="F24" i="7" s="1"/>
  <c r="F23" i="7" s="1"/>
  <c r="F22" i="7" s="1"/>
  <c r="F21" i="7" s="1"/>
  <c r="F20" i="7" s="1"/>
  <c r="F19" i="7" s="1"/>
  <c r="F18" i="7" s="1"/>
  <c r="F17" i="7" s="1"/>
  <c r="F16" i="7" s="1"/>
  <c r="F15" i="7" s="1"/>
  <c r="F14" i="7" s="1"/>
  <c r="F13" i="7" s="1"/>
  <c r="F12" i="7" s="1"/>
  <c r="F11" i="7" s="1"/>
  <c r="F10" i="7" s="1"/>
  <c r="F9" i="7" s="1"/>
  <c r="F8" i="7" s="1"/>
  <c r="F7" i="7" s="1"/>
  <c r="F6" i="7" s="1"/>
  <c r="W48" i="6"/>
  <c r="T49" i="6"/>
  <c r="S49" i="6"/>
  <c r="R49" i="6"/>
  <c r="V49" i="6" s="1"/>
  <c r="Q49" i="6"/>
  <c r="H57" i="8"/>
  <c r="I57" i="8" s="1"/>
  <c r="G49" i="7"/>
  <c r="L50" i="6"/>
  <c r="C12" i="9" s="1"/>
  <c r="Y50" i="6" l="1"/>
  <c r="K50" i="7" s="1"/>
  <c r="K49" i="7" s="1"/>
  <c r="K48" i="7" s="1"/>
  <c r="K47" i="7" s="1"/>
  <c r="K46" i="7" s="1"/>
  <c r="K45" i="7" s="1"/>
  <c r="K44" i="7" s="1"/>
  <c r="K43" i="7" s="1"/>
  <c r="K42" i="7" s="1"/>
  <c r="K41" i="7" s="1"/>
  <c r="K40" i="7" s="1"/>
  <c r="K39" i="7" s="1"/>
  <c r="K38" i="7" s="1"/>
  <c r="K37" i="7" s="1"/>
  <c r="K36" i="7" s="1"/>
  <c r="K35" i="7" s="1"/>
  <c r="K34" i="7" s="1"/>
  <c r="K33" i="7" s="1"/>
  <c r="K32" i="7" s="1"/>
  <c r="K31" i="7" s="1"/>
  <c r="K30" i="7" s="1"/>
  <c r="K29" i="7" s="1"/>
  <c r="K28" i="7" s="1"/>
  <c r="K27" i="7" s="1"/>
  <c r="K26" i="7" s="1"/>
  <c r="K25" i="7" s="1"/>
  <c r="K24" i="7" s="1"/>
  <c r="K23" i="7" s="1"/>
  <c r="K22" i="7" s="1"/>
  <c r="K21" i="7" s="1"/>
  <c r="K20" i="7" s="1"/>
  <c r="K19" i="7" s="1"/>
  <c r="K18" i="7" s="1"/>
  <c r="K17" i="7" s="1"/>
  <c r="K16" i="7" s="1"/>
  <c r="K15" i="7" s="1"/>
  <c r="K14" i="7" s="1"/>
  <c r="K13" i="7" s="1"/>
  <c r="K12" i="7" s="1"/>
  <c r="K11" i="7" s="1"/>
  <c r="K10" i="7" s="1"/>
  <c r="K9" i="7" s="1"/>
  <c r="K8" i="7" s="1"/>
  <c r="K7" i="7" s="1"/>
  <c r="K6" i="7" s="1"/>
  <c r="C11" i="2" s="1"/>
  <c r="X50" i="6"/>
  <c r="J50" i="7" s="1"/>
  <c r="J49" i="7" s="1"/>
  <c r="J48" i="7" s="1"/>
  <c r="J47" i="7" s="1"/>
  <c r="J46" i="7" s="1"/>
  <c r="J45" i="7" s="1"/>
  <c r="J44" i="7" s="1"/>
  <c r="J43" i="7" s="1"/>
  <c r="J42" i="7" s="1"/>
  <c r="J41" i="7" s="1"/>
  <c r="J40" i="7" s="1"/>
  <c r="J39" i="7" s="1"/>
  <c r="J38" i="7" s="1"/>
  <c r="J37" i="7" s="1"/>
  <c r="J36" i="7" s="1"/>
  <c r="J35" i="7" s="1"/>
  <c r="J34" i="7" s="1"/>
  <c r="J33" i="7" s="1"/>
  <c r="J32" i="7" s="1"/>
  <c r="J31" i="7" s="1"/>
  <c r="J30" i="7" s="1"/>
  <c r="J29" i="7" s="1"/>
  <c r="J28" i="7" s="1"/>
  <c r="J27" i="7" s="1"/>
  <c r="J26" i="7" s="1"/>
  <c r="J25" i="7" s="1"/>
  <c r="J24" i="7" s="1"/>
  <c r="J23" i="7" s="1"/>
  <c r="J22" i="7" s="1"/>
  <c r="J21" i="7" s="1"/>
  <c r="J20" i="7" s="1"/>
  <c r="J19" i="7" s="1"/>
  <c r="J18" i="7" s="1"/>
  <c r="J17" i="7" s="1"/>
  <c r="J16" i="7" s="1"/>
  <c r="J15" i="7" s="1"/>
  <c r="J14" i="7" s="1"/>
  <c r="J13" i="7" s="1"/>
  <c r="J12" i="7" s="1"/>
  <c r="J11" i="7" s="1"/>
  <c r="J10" i="7" s="1"/>
  <c r="J9" i="7" s="1"/>
  <c r="J8" i="7" s="1"/>
  <c r="J7" i="7" s="1"/>
  <c r="J6" i="7" s="1"/>
  <c r="B11" i="2" s="1"/>
  <c r="P50" i="6"/>
  <c r="C9" i="2"/>
  <c r="D7" i="9"/>
  <c r="E7" i="9" s="1"/>
  <c r="F7" i="9" s="1"/>
  <c r="H58" i="8"/>
  <c r="I58" i="8" s="1"/>
  <c r="B50" i="7"/>
  <c r="G50" i="7"/>
  <c r="T50" i="6"/>
  <c r="S50" i="6"/>
  <c r="R50" i="6"/>
  <c r="V50" i="6" s="1"/>
  <c r="D50" i="7" s="1"/>
  <c r="D49" i="7" s="1"/>
  <c r="D48" i="7" s="1"/>
  <c r="D47" i="7" s="1"/>
  <c r="D46" i="7" s="1"/>
  <c r="D45" i="7" s="1"/>
  <c r="D44" i="7" s="1"/>
  <c r="D43" i="7" s="1"/>
  <c r="D42" i="7" s="1"/>
  <c r="D41" i="7" s="1"/>
  <c r="D40" i="7" s="1"/>
  <c r="D39" i="7" s="1"/>
  <c r="D38" i="7" s="1"/>
  <c r="D37" i="7" s="1"/>
  <c r="D36" i="7" s="1"/>
  <c r="D35" i="7" s="1"/>
  <c r="D34" i="7" s="1"/>
  <c r="D33" i="7" s="1"/>
  <c r="D32" i="7" s="1"/>
  <c r="D31" i="7" s="1"/>
  <c r="D30" i="7" s="1"/>
  <c r="D29" i="7" s="1"/>
  <c r="D28" i="7" s="1"/>
  <c r="D27" i="7" s="1"/>
  <c r="D26" i="7" s="1"/>
  <c r="D25" i="7" s="1"/>
  <c r="D24" i="7" s="1"/>
  <c r="D23" i="7" s="1"/>
  <c r="D22" i="7" s="1"/>
  <c r="D21" i="7" s="1"/>
  <c r="D20" i="7" s="1"/>
  <c r="D19" i="7" s="1"/>
  <c r="D18" i="7" s="1"/>
  <c r="D17" i="7" s="1"/>
  <c r="D16" i="7" s="1"/>
  <c r="D15" i="7" s="1"/>
  <c r="D14" i="7" s="1"/>
  <c r="D13" i="7" s="1"/>
  <c r="D12" i="7" s="1"/>
  <c r="D11" i="7" s="1"/>
  <c r="D10" i="7" s="1"/>
  <c r="D9" i="7" s="1"/>
  <c r="D8" i="7" s="1"/>
  <c r="D7" i="7" s="1"/>
  <c r="D6" i="7" s="1"/>
  <c r="C10" i="2" s="1"/>
  <c r="C13" i="2" s="1"/>
  <c r="Q50" i="6"/>
  <c r="U49" i="6"/>
  <c r="D11" i="2" l="1"/>
  <c r="D9" i="2"/>
  <c r="C12" i="2"/>
  <c r="B49" i="7"/>
  <c r="H50" i="7"/>
  <c r="W49" i="6"/>
  <c r="U50" i="6"/>
  <c r="E9" i="2" l="1"/>
  <c r="H49" i="7"/>
  <c r="B48" i="7"/>
  <c r="C50" i="7"/>
  <c r="W50" i="6"/>
  <c r="D21" i="2" s="1"/>
  <c r="H48" i="7" l="1"/>
  <c r="B47" i="7"/>
  <c r="C49" i="7"/>
  <c r="I50" i="7"/>
  <c r="H47" i="7" l="1"/>
  <c r="B46" i="7"/>
  <c r="I49" i="7"/>
  <c r="C48" i="7"/>
  <c r="H46" i="7" l="1"/>
  <c r="B45" i="7"/>
  <c r="I48" i="7"/>
  <c r="C47" i="7"/>
  <c r="H45" i="7" l="1"/>
  <c r="B44" i="7"/>
  <c r="C46" i="7"/>
  <c r="I47" i="7"/>
  <c r="H44" i="7" l="1"/>
  <c r="B43" i="7"/>
  <c r="I46" i="7"/>
  <c r="C45" i="7"/>
  <c r="H43" i="7" l="1"/>
  <c r="B42" i="7"/>
  <c r="C44" i="7"/>
  <c r="I45" i="7"/>
  <c r="H42" i="7" l="1"/>
  <c r="B41" i="7"/>
  <c r="I44" i="7"/>
  <c r="C43" i="7"/>
  <c r="H41" i="7" l="1"/>
  <c r="B40" i="7"/>
  <c r="I43" i="7"/>
  <c r="C42" i="7"/>
  <c r="H40" i="7" l="1"/>
  <c r="B39" i="7"/>
  <c r="I42" i="7"/>
  <c r="C41" i="7"/>
  <c r="H39" i="7" l="1"/>
  <c r="B38" i="7"/>
  <c r="C40" i="7"/>
  <c r="I41" i="7"/>
  <c r="H38" i="7" l="1"/>
  <c r="B37" i="7"/>
  <c r="I40" i="7"/>
  <c r="C39" i="7"/>
  <c r="H37" i="7" l="1"/>
  <c r="B36" i="7"/>
  <c r="I39" i="7"/>
  <c r="C38" i="7"/>
  <c r="H36" i="7" l="1"/>
  <c r="B35" i="7"/>
  <c r="I38" i="7"/>
  <c r="C37" i="7"/>
  <c r="H35" i="7" l="1"/>
  <c r="B34" i="7"/>
  <c r="I37" i="7"/>
  <c r="C36" i="7"/>
  <c r="H34" i="7" l="1"/>
  <c r="B33" i="7"/>
  <c r="I36" i="7"/>
  <c r="C35" i="7"/>
  <c r="H33" i="7" l="1"/>
  <c r="B32" i="7"/>
  <c r="I35" i="7"/>
  <c r="C34" i="7"/>
  <c r="H32" i="7" l="1"/>
  <c r="B31" i="7"/>
  <c r="I34" i="7"/>
  <c r="C33" i="7"/>
  <c r="H31" i="7" l="1"/>
  <c r="B30" i="7"/>
  <c r="I33" i="7"/>
  <c r="C32" i="7"/>
  <c r="H30" i="7" l="1"/>
  <c r="B29" i="7"/>
  <c r="C31" i="7"/>
  <c r="I32" i="7"/>
  <c r="H29" i="7" l="1"/>
  <c r="B28" i="7"/>
  <c r="I31" i="7"/>
  <c r="C30" i="7"/>
  <c r="H28" i="7" l="1"/>
  <c r="B27" i="7"/>
  <c r="I30" i="7"/>
  <c r="C29" i="7"/>
  <c r="H27" i="7" l="1"/>
  <c r="B26" i="7"/>
  <c r="C28" i="7"/>
  <c r="I29" i="7"/>
  <c r="H26" i="7" l="1"/>
  <c r="B25" i="7"/>
  <c r="I28" i="7"/>
  <c r="C27" i="7"/>
  <c r="H25" i="7" l="1"/>
  <c r="B24" i="7"/>
  <c r="I27" i="7"/>
  <c r="C26" i="7"/>
  <c r="H24" i="7" l="1"/>
  <c r="B23" i="7"/>
  <c r="I26" i="7"/>
  <c r="C25" i="7"/>
  <c r="H23" i="7" l="1"/>
  <c r="B22" i="7"/>
  <c r="I25" i="7"/>
  <c r="C24" i="7"/>
  <c r="H22" i="7" l="1"/>
  <c r="B21" i="7"/>
  <c r="I24" i="7"/>
  <c r="C23" i="7"/>
  <c r="H21" i="7" l="1"/>
  <c r="B20" i="7"/>
  <c r="I23" i="7"/>
  <c r="C22" i="7"/>
  <c r="H20" i="7" l="1"/>
  <c r="B19" i="7"/>
  <c r="I22" i="7"/>
  <c r="C21" i="7"/>
  <c r="H19" i="7" l="1"/>
  <c r="B18" i="7"/>
  <c r="I21" i="7"/>
  <c r="C20" i="7"/>
  <c r="B17" i="7" l="1"/>
  <c r="H18" i="7"/>
  <c r="I20" i="7"/>
  <c r="C19" i="7"/>
  <c r="H17" i="7" l="1"/>
  <c r="B16" i="7"/>
  <c r="I19" i="7"/>
  <c r="C18" i="7"/>
  <c r="B15" i="7" l="1"/>
  <c r="H16" i="7"/>
  <c r="C17" i="7"/>
  <c r="I18" i="7"/>
  <c r="B14" i="7" l="1"/>
  <c r="H15" i="7"/>
  <c r="I17" i="7"/>
  <c r="C16" i="7"/>
  <c r="B13" i="7" l="1"/>
  <c r="H14" i="7"/>
  <c r="C15" i="7"/>
  <c r="I16" i="7"/>
  <c r="B12" i="7" l="1"/>
  <c r="H13" i="7"/>
  <c r="C14" i="7"/>
  <c r="I15" i="7"/>
  <c r="B11" i="7" l="1"/>
  <c r="H12" i="7"/>
  <c r="C13" i="7"/>
  <c r="I14" i="7"/>
  <c r="B10" i="7" l="1"/>
  <c r="H11" i="7"/>
  <c r="C12" i="7"/>
  <c r="I13" i="7"/>
  <c r="B9" i="7" l="1"/>
  <c r="H10" i="7"/>
  <c r="C11" i="7"/>
  <c r="I12" i="7"/>
  <c r="B8" i="7" l="1"/>
  <c r="H9" i="7"/>
  <c r="C10" i="7"/>
  <c r="I11" i="7"/>
  <c r="B7" i="7" l="1"/>
  <c r="H8" i="7"/>
  <c r="C9" i="7"/>
  <c r="I10" i="7"/>
  <c r="B6" i="7" l="1"/>
  <c r="H7" i="7"/>
  <c r="C8" i="7"/>
  <c r="I9" i="7"/>
  <c r="D5" i="9" l="1"/>
  <c r="D12" i="9"/>
  <c r="D10" i="2"/>
  <c r="E5" i="9"/>
  <c r="F5" i="9" s="1"/>
  <c r="D17" i="2" s="1"/>
  <c r="E12" i="9"/>
  <c r="F12" i="9" s="1"/>
  <c r="D16" i="2" s="1"/>
  <c r="H10" i="8"/>
  <c r="H11" i="8" s="1"/>
  <c r="D15" i="2" s="1"/>
  <c r="H6" i="7"/>
  <c r="C7" i="7"/>
  <c r="I8" i="7"/>
  <c r="D12" i="2" l="1"/>
  <c r="E10" i="2"/>
  <c r="C6" i="7"/>
  <c r="I7" i="7"/>
  <c r="B10" i="2" l="1"/>
  <c r="I6" i="7"/>
  <c r="D22" i="2" s="1"/>
  <c r="B12" i="2" l="1"/>
  <c r="B1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tc={3958D65B-ECFD-4C72-810E-BAC1AD91FB19}</author>
  </authors>
  <commentList>
    <comment ref="A38" authorId="0" shapeId="0" xr:uid="{3958D65B-ECFD-4C72-810E-BAC1AD91FB19}">
      <text>
        <t>[Threaded comment]
Your version of Excel allows you to read this threaded comment; however, any edits to it will get removed if the file is opened in a newer version of Excel. Learn more: https://go.microsoft.com/fwlink/?linkid=870924
Comment:
    Only non financial risks for RA</t>
      </text>
    </comment>
  </commentList>
</comments>
</file>

<file path=xl/sharedStrings.xml><?xml version="1.0" encoding="utf-8"?>
<sst xmlns="http://schemas.openxmlformats.org/spreadsheetml/2006/main" count="297" uniqueCount="245">
  <si>
    <t>IFRS 17 risk adjustment: cost of capital method, step by step</t>
  </si>
  <si>
    <t>A learning workbook. All numbers are illustrative (Solvency II-style stresses), not any company's calibration.</t>
  </si>
  <si>
    <t>How the RA is built in this workbook</t>
  </si>
  <si>
    <t>1. Inputs: assumptions for a term assurance group and an immediate annuity group, the stresses, the correlation matrix and the cost of capital.</t>
  </si>
  <si>
    <t>2. Term and Annuity: per-policy BEL by backward recursion, on best-estimate and on each stressed basis. Capital for a risk at time t = in-force at t × (stressed BEL − best-estimate BEL), with the stress applied from t onwards.</t>
  </si>
  <si>
    <t>3. Capital: combines the risks each year with the correlation matrix (diversified), compares with each group on its own (standalone), and allocates the diversified capital back to the groups two ways: Euler (by each risk's marginal contribution) and proportional to standalone capital. Euler can give a group a small negative share when its risk hedges the other group (see the term group near the end of its term).</t>
  </si>
  <si>
    <t>4. RA: RA(t) = CoC × Capital(t) × v + v × RA(t+1). This is the PV of the cost of holding capital until the business runs off (IFRS 17 para 37, B86–B92).</t>
  </si>
  <si>
    <t>5. Factor method: calibrates one factor per risk at t = 0 and rebuilds the RA from exposures only. Compare it with the full method to see the approximation error.</t>
  </si>
  <si>
    <t>6. Confidence: the implied confidence level for the para 119 disclosure, in a one-year view and a run-off view. The gap between them is itself a lesson (see the note on that sheet).</t>
  </si>
  <si>
    <t>7. Summary: the key results and checks in one place.</t>
  </si>
  <si>
    <t>Timing conventions</t>
  </si>
  <si>
    <t>Premiums and expenses at the start of the year; death claims and annuity payments at the end of the year; lapses at the end of the year after deaths. Flat discount rate.</t>
  </si>
  <si>
    <t>Colour key</t>
  </si>
  <si>
    <t>Exercises (do these in order)</t>
  </si>
  <si>
    <t>1. Set the cost of capital to 4.75% (the Solvency II rate from 2027). How much does the RA fall? Why exactly that proportion?</t>
  </si>
  <si>
    <t>2. Set the mortality/longevity correlation to 0, then +0.25. What happens to the diversification benefit and to each group's allocated RA?</t>
  </si>
  <si>
    <t>3. Raise the term premium. Why does the lapse capital increase?</t>
  </si>
  <si>
    <t>4. Change the annuitant age from 65 to 75. How do the annuity RA and the RA as a % of BEL change, and why?</t>
  </si>
  <si>
    <t>5. Compare the factor method RA with the full method. In which years do the capital paths differ most, and why?</t>
  </si>
  <si>
    <t>7. Compare Euler and proportional allocation on the Summary sheet. Which group benefits more from diversification under each method, and why?</t>
  </si>
  <si>
    <t>6. Add the Solvency II expense inflation stress (+1% a year) to both product sheets. Hint: it needs the stress to start at the valuation date.</t>
  </si>
  <si>
    <t>Summary</t>
  </si>
  <si>
    <t>Alternative cost of capital rate</t>
  </si>
  <si>
    <t>Solvency II rate from 2027; used in the last column below</t>
  </si>
  <si>
    <t>Term</t>
  </si>
  <si>
    <t>Annuity</t>
  </si>
  <si>
    <t>Total</t>
  </si>
  <si>
    <t>RA at alternative CoC</t>
  </si>
  <si>
    <t>BEL at t = 0</t>
  </si>
  <si>
    <t>Capital at t = 0 (standalone)</t>
  </si>
  <si>
    <t>Capital at t = 0 (diversified, allocated)</t>
  </si>
  <si>
    <t>RA at t = 0 (standalone)</t>
  </si>
  <si>
    <t>RA at t = 0 (diversified, allocated)</t>
  </si>
  <si>
    <t>RA at t = 0 (diversified, proportional)</t>
  </si>
  <si>
    <t>Diversification benefit on RA</t>
  </si>
  <si>
    <t>RA as % of BEL (diversified)</t>
  </si>
  <si>
    <t>RA by factor method</t>
  </si>
  <si>
    <t>Factor method error</t>
  </si>
  <si>
    <t>Implied confidence level: run-off view</t>
  </si>
  <si>
    <t>Implied confidence level: one-year view</t>
  </si>
  <si>
    <t>Checks (all should be 0)</t>
  </si>
  <si>
    <t>Term BEL identity (Σ |error|)</t>
  </si>
  <si>
    <t>Euler allocation adds up (Σ |error|)</t>
  </si>
  <si>
    <t>Allocated RAs add up (Σ |error|)</t>
  </si>
  <si>
    <t>Note: the term BEL is negative because future premiums exceed expected claims and expenses (a profitable group).</t>
  </si>
  <si>
    <t>Inputs</t>
  </si>
  <si>
    <t>Amounts in EUR. Blue cells can be changed.</t>
  </si>
  <si>
    <t>General</t>
  </si>
  <si>
    <t>Cost of capital rate</t>
  </si>
  <si>
    <t>Solvency II Art. 39 (falls to 4.75% from 2027)</t>
  </si>
  <si>
    <t>Discount rate (flat)</t>
  </si>
  <si>
    <t>Simplified risk-free rate</t>
  </si>
  <si>
    <t>Mortality basis (Gompertz-Makeham)</t>
  </si>
  <si>
    <t>A</t>
  </si>
  <si>
    <t>q = 1 − exp(−(A + B × C^age))</t>
  </si>
  <si>
    <t>B</t>
  </si>
  <si>
    <t>C</t>
  </si>
  <si>
    <t>Term assurance group</t>
  </si>
  <si>
    <t>Number of policies</t>
  </si>
  <si>
    <t>Age at start</t>
  </si>
  <si>
    <t>Term (years)</t>
  </si>
  <si>
    <t>Projection rows cover 20 years</t>
  </si>
  <si>
    <t>Sum assured per policy</t>
  </si>
  <si>
    <t>Annual premium per policy</t>
  </si>
  <si>
    <t>Paid at start of year</t>
  </si>
  <si>
    <t>Expense per policy, year 1</t>
  </si>
  <si>
    <t>Expense inflation</t>
  </si>
  <si>
    <t>Used for both groups</t>
  </si>
  <si>
    <t>Lapse rate</t>
  </si>
  <si>
    <t>Mortality multiplier</t>
  </si>
  <si>
    <t>× base table</t>
  </si>
  <si>
    <t>Immediate annuity group</t>
  </si>
  <si>
    <t>Projected to age 110</t>
  </si>
  <si>
    <t>Annual annuity per policy</t>
  </si>
  <si>
    <t>Paid at end of year to survivors</t>
  </si>
  <si>
    <t>Annuitants live longer than the base table</t>
  </si>
  <si>
    <t>Stresses (Solvency II-style)</t>
  </si>
  <si>
    <t>Mortality: change in q (term)</t>
  </si>
  <si>
    <t>SII Art. 137: +15%</t>
  </si>
  <si>
    <t>Longevity: change in q (annuity)</t>
  </si>
  <si>
    <t>SII Art. 138: −20%</t>
  </si>
  <si>
    <t>Lapse up: change in lapse rate</t>
  </si>
  <si>
    <t>SII Art. 142: +50%, capped at 100%</t>
  </si>
  <si>
    <t>Lapse down: change in lapse rate</t>
  </si>
  <si>
    <t>SII Art. 142: −50% ...</t>
  </si>
  <si>
    <t>Lapse down: maximum absolute fall</t>
  </si>
  <si>
    <t>... capped at a fall of 20 percentage points</t>
  </si>
  <si>
    <t>Expense level: change</t>
  </si>
  <si>
    <t>SII Art. 140: +10% (inflation stress left as exercise 6)</t>
  </si>
  <si>
    <t>Correlation between risks (Solvency II Art. 136)</t>
  </si>
  <si>
    <t>Mortality</t>
  </si>
  <si>
    <t>Longevity</t>
  </si>
  <si>
    <t>Lapse</t>
  </si>
  <si>
    <t>Expense</t>
  </si>
  <si>
    <t>Term assurance group: per-policy BEL on each basis, capital and exposures</t>
  </si>
  <si>
    <t>Columns C–H: best estimate. I–P: stressed bases. Q–S: per-policy PVs used as exposures. T–AA: totals for the group.</t>
  </si>
  <si>
    <t>t</t>
  </si>
  <si>
    <t>Age</t>
  </si>
  <si>
    <t>q (best est.)</t>
  </si>
  <si>
    <t>Premium per policy</t>
  </si>
  <si>
    <t>Expense per policy</t>
  </si>
  <si>
    <t>In-force at start of year</t>
  </si>
  <si>
    <t>BEL per policy: best estimate</t>
  </si>
  <si>
    <t>q (mortality stress)</t>
  </si>
  <si>
    <t>BEL per policy: mortality stress</t>
  </si>
  <si>
    <t>Lapse (up stress)</t>
  </si>
  <si>
    <t>BEL per policy: lapse up</t>
  </si>
  <si>
    <t>Lapse (down stress)</t>
  </si>
  <si>
    <t>BEL per policy: lapse down</t>
  </si>
  <si>
    <t>Expense (stressed)</t>
  </si>
  <si>
    <t>BEL per policy: expense stress</t>
  </si>
  <si>
    <t>PV future claims per policy</t>
  </si>
  <si>
    <t>PV future expenses per policy</t>
  </si>
  <si>
    <t>PV future premiums per policy</t>
  </si>
  <si>
    <t>BEL total (group)</t>
  </si>
  <si>
    <t>Capital: mortality</t>
  </si>
  <si>
    <t>Capital: lapse (worst of up/down)</t>
  </si>
  <si>
    <t>Capital: expense</t>
  </si>
  <si>
    <t>Exposure: sum assured in force</t>
  </si>
  <si>
    <t>Exposure: PV future claims</t>
  </si>
  <si>
    <t>Exposure: PV future profits</t>
  </si>
  <si>
    <t>Exposure: PV future expenses</t>
  </si>
  <si>
    <t>Check: BEL − (claims + expenses − premiums)</t>
  </si>
  <si>
    <t>end</t>
  </si>
  <si>
    <t>Immediate annuity group: per-policy BEL on each basis, capital and exposures</t>
  </si>
  <si>
    <t>Annuity per survivor</t>
  </si>
  <si>
    <t>q (longevity stress)</t>
  </si>
  <si>
    <t>BEL per policy: longevity stress</t>
  </si>
  <si>
    <t>PV future annuity payments per policy</t>
  </si>
  <si>
    <t>Capital: longevity</t>
  </si>
  <si>
    <t>Exposure: PV future annuity payments</t>
  </si>
  <si>
    <t>Capital each year: by risk, diversified, standalone by group, and Euler allocation to groups</t>
  </si>
  <si>
    <t>Diversified capital = √(Σi Σj ρij Ci Cj) across both groups. Standalone = each group on its own. Euler: risk i's share = Ci × (Σj ρij Cj) ÷ total.</t>
  </si>
  <si>
    <t>Mortality (term)</t>
  </si>
  <si>
    <t>Longevity (annuity)</t>
  </si>
  <si>
    <t>Lapse (term)</t>
  </si>
  <si>
    <t>Expense (term)</t>
  </si>
  <si>
    <t>Expense (annuity)</t>
  </si>
  <si>
    <t>Expense (total)</t>
  </si>
  <si>
    <t>Σj ρ(mort,j)·Cj</t>
  </si>
  <si>
    <t>Σj ρ(long,j)·Cj</t>
  </si>
  <si>
    <t>Σj ρ(lapse,j)·Cj</t>
  </si>
  <si>
    <t>Σj ρ(exp,j)·Cj</t>
  </si>
  <si>
    <t>Diversified capital (both groups)</t>
  </si>
  <si>
    <t>Standalone capital: term</t>
  </si>
  <si>
    <t>Standalone capital: annuity</t>
  </si>
  <si>
    <t>Sum of standalone</t>
  </si>
  <si>
    <t>Diversification benefit</t>
  </si>
  <si>
    <t>Euler share: mortality</t>
  </si>
  <si>
    <t>Euler share: longevity</t>
  </si>
  <si>
    <t>Euler share: lapse</t>
  </si>
  <si>
    <t>Euler share: expense</t>
  </si>
  <si>
    <t>Allocated capital: term</t>
  </si>
  <si>
    <t>Allocated capital: annuity</t>
  </si>
  <si>
    <t>Check: allocations − total</t>
  </si>
  <si>
    <t>Proportional allocation: term</t>
  </si>
  <si>
    <t>Proportional allocation: annuity</t>
  </si>
  <si>
    <t>Risk adjustment by backward recursion: RA(t) = CoC × Capital(t) × v + v × RA(t+1)</t>
  </si>
  <si>
    <t>Capital at the start of year t is held for the year; its cost is paid at the year end, hence the discount factor v.</t>
  </si>
  <si>
    <t>RA: diversified total</t>
  </si>
  <si>
    <t>RA: term (allocated)</t>
  </si>
  <si>
    <t>RA: annuity (allocated)</t>
  </si>
  <si>
    <t>RA: term (standalone)</t>
  </si>
  <si>
    <t>RA: annuity (standalone)</t>
  </si>
  <si>
    <t>Cost of capital for year t (PV at t)</t>
  </si>
  <si>
    <t>Fall in diversified RA over year t</t>
  </si>
  <si>
    <t>Check: allocated RAs − total</t>
  </si>
  <si>
    <t>RA: term (proportional)</t>
  </si>
  <si>
    <t>RA: annuity (proportional)</t>
  </si>
  <si>
    <t>Factor method: calibrate at t = 0, then capital(t) = factor × exposure(t)</t>
  </si>
  <si>
    <t>Factors use the diversified (Euler) capital at t = 0, so they can be added linearly. RA factor = CoC × capital factor.</t>
  </si>
  <si>
    <t>Risk</t>
  </si>
  <si>
    <t>Exposure measure</t>
  </si>
  <si>
    <t>Exposure at t = 0</t>
  </si>
  <si>
    <t>Diversified capital at t = 0</t>
  </si>
  <si>
    <t>Capital factor</t>
  </si>
  <si>
    <t>RA factor (CoC × factor)</t>
  </si>
  <si>
    <t>PV-summed exposure Σt E(t)·v^(t+1)</t>
  </si>
  <si>
    <t>RA for this risk</t>
  </si>
  <si>
    <t>Sum assured in force (term)</t>
  </si>
  <si>
    <t>PV future annuity payments</t>
  </si>
  <si>
    <t>PV future profits (term)</t>
  </si>
  <si>
    <t>PV future expenses (both groups)</t>
  </si>
  <si>
    <t>RA by full method (diversified, from RA sheet)</t>
  </si>
  <si>
    <t>Exposure: PV annuity payments</t>
  </si>
  <si>
    <t>Exposure: PV profits</t>
  </si>
  <si>
    <t>Exposure: PV expenses</t>
  </si>
  <si>
    <t>Total capital: factor method</t>
  </si>
  <si>
    <t>Total capital: full method</t>
  </si>
  <si>
    <t>Factor vs full</t>
  </si>
  <si>
    <t>Discount factor v^(t+1)</t>
  </si>
  <si>
    <t>Implied confidence level for the IFRS 17 para 119 disclosure</t>
  </si>
  <si>
    <t>Approximation: treat the year-1 capital as a 99.5% quantile of a normal distribution of outcomes, so σ ≈ capital ÷ 2.576.</t>
  </si>
  <si>
    <t>One-year view</t>
  </si>
  <si>
    <t>Capital at t = 0</t>
  </si>
  <si>
    <t>σ (approx.)</t>
  </si>
  <si>
    <t>RA at t = 0</t>
  </si>
  <si>
    <t>RA in standard deviations</t>
  </si>
  <si>
    <t>Implied confidence level</t>
  </si>
  <si>
    <t>Diversified total</t>
  </si>
  <si>
    <t>Term (standalone)</t>
  </si>
  <si>
    <t>Annuity (standalone)</t>
  </si>
  <si>
    <t>Run-off view</t>
  </si>
  <si>
    <t>Each year's capital is treated as a 99.5% one-year shock (σ_t = capital_t ÷ 2.576), independent across years; σ of the PV over the run-off = √Σ (σ_t × v^t)².</t>
  </si>
  <si>
    <t>σ over the run-off</t>
  </si>
  <si>
    <t>Why the two views differ: the one-year view compares the whole RA with a single year's shock, so for long-dated business (annuities) it overstates the confidence level. The run-off view allows for uncertainty building up over the whole run-off, which is closer to how insurers derive the para 119 figure. A full calibration would simulate the distribution.</t>
  </si>
  <si>
    <r>
      <t xml:space="preserve">Blue text = </t>
    </r>
    <r>
      <rPr>
        <sz val="11"/>
        <color theme="3"/>
        <rFont val="Arial"/>
        <family val="2"/>
      </rPr>
      <t>input you can change</t>
    </r>
    <r>
      <rPr>
        <sz val="11"/>
        <rFont val="Arial"/>
        <charset val="1"/>
      </rPr>
      <t xml:space="preserve">. Yellow fill = </t>
    </r>
    <r>
      <rPr>
        <sz val="11"/>
        <color rgb="FFC3BF11"/>
        <rFont val="Arial"/>
        <family val="2"/>
      </rPr>
      <t>key assumption</t>
    </r>
    <r>
      <rPr>
        <sz val="11"/>
        <rFont val="Arial"/>
        <charset val="1"/>
      </rPr>
      <t>. Green text =</t>
    </r>
    <r>
      <rPr>
        <sz val="11"/>
        <color rgb="FF00B050"/>
        <rFont val="Arial"/>
        <family val="2"/>
      </rPr>
      <t xml:space="preserve"> link to another sheet</t>
    </r>
    <r>
      <rPr>
        <sz val="11"/>
        <rFont val="Arial"/>
        <charset val="1"/>
      </rPr>
      <t xml:space="preserve">. Beige fill = </t>
    </r>
    <r>
      <rPr>
        <sz val="11"/>
        <color theme="9" tint="0.59999389629810485"/>
        <rFont val="Arial"/>
        <family val="2"/>
      </rPr>
      <t>key result</t>
    </r>
    <r>
      <rPr>
        <sz val="11"/>
        <rFont val="Arial"/>
        <charset val="1"/>
      </rPr>
      <t>.</t>
    </r>
  </si>
  <si>
    <t xml:space="preserve">Per-policy BEL(t) = expense − premium + q × SA × v + (1 − q)(1 − lapse) × v × BEL(t+1). </t>
  </si>
  <si>
    <t>Capital = in-force × (stressed BEL − best-estimate BEL), floored at 0.</t>
  </si>
  <si>
    <t>Per-policy BEL(t) = expense + (1 − q) × annuity × v + (1 − q) × v × BEL(t+1).</t>
  </si>
  <si>
    <t>Term (Factored)</t>
  </si>
  <si>
    <t>Annuity Factored)</t>
  </si>
  <si>
    <t>Term’s PV-summed expense exposure</t>
  </si>
  <si>
    <t>Annuity’s PV-summed expense exposure</t>
  </si>
  <si>
    <t>Term factor RA</t>
  </si>
  <si>
    <t>Annuity factor RA</t>
  </si>
  <si>
    <t>Implied confidence level: factor method RA</t>
  </si>
  <si>
    <t>Same approach as the Confidence sheet, but the RA comes from the factor method (‘Factor method’!H9 for the total, M8/M9 for the groups). One-year view: σ ≈ capital at t = 0 ÷ 2.576 (the 99.5% normal quantile). At t = 0, factor and full-method capital are identical, because the factors are calibrated at t = 0.</t>
  </si>
  <si>
    <t>Run-off view: σ is deliberately taken from the full-method capital path (Capital!L6:L50), not the factor capital path. σ measures how uncertain the business really is, and that doesn’t change because the RA was calculated with a shortcut. Using the factor capital path would shrink σ as well as the RA, giving a flattering 73.7% instead of 69.6%.</t>
  </si>
  <si>
    <t>he factor RA (€2.70m) is about 31% below the full-method RA (€3.90m). Against the true run-off uncertainty, that corresponds to a confidence level of about 70%, against 77% for the full method. Most of the gap comes from the annuity group: one longevity factor calibrated at age 65 understates capital as annuitants age. If an RA is calculated with factors, the disclosed confidence level (para 119) should be checked against an independent measure of risk, not against the factors themselves.</t>
  </si>
  <si>
    <t>Implied confidence level, factor method (run-off view)</t>
  </si>
  <si>
    <t>Attained Age</t>
  </si>
  <si>
    <t>Longevity Capital (Euler)</t>
  </si>
  <si>
    <t>Exposure: PV Annuity (Payments)</t>
  </si>
  <si>
    <t>Raw Factors</t>
  </si>
  <si>
    <t>Lower Age</t>
  </si>
  <si>
    <t>Upper Age</t>
  </si>
  <si>
    <t>Band Factor</t>
  </si>
  <si>
    <t>Band</t>
  </si>
  <si>
    <t>Banded Capital</t>
  </si>
  <si>
    <t>Discount Factor</t>
  </si>
  <si>
    <t>Results</t>
  </si>
  <si>
    <t>Longevity RA (Banded)</t>
  </si>
  <si>
    <t>Total Factor (RA)</t>
  </si>
  <si>
    <t>Total RA (full method)</t>
  </si>
  <si>
    <t>Error vs Full Method</t>
  </si>
  <si>
    <t>Age bands: longevity capital factors banded by attained age</t>
  </si>
  <si>
    <t>Raw factor = Euler longevity capital ÷ PV annuity exposure; each band uses one capital-weighted factor. Banded RA compared with the full method.</t>
  </si>
  <si>
    <t>Standalone longevity capital</t>
  </si>
  <si>
    <t>Standalone Band Factor</t>
  </si>
  <si>
    <t>Standalone capital, banded</t>
  </si>
  <si>
    <t>Standalone longevity RA (banded)</t>
  </si>
  <si>
    <t>Standalone longevity RA (full)</t>
  </si>
  <si>
    <t>Error</t>
  </si>
  <si>
    <t>Age Banded Factor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</si>
</sst>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 #,##0.00_ ;_ * \-#,##0.00_ ;_ * &quot;-&quot;??_ ;_ @_ "/>
    <numFmt numFmtId="164" formatCode="0.0%"/>
    <numFmt numFmtId="165" formatCode="#,##0;\(#,##0\);\-"/>
    <numFmt numFmtId="166" formatCode="0.000000"/>
    <numFmt numFmtId="167" formatCode="0.00000"/>
    <numFmt numFmtId="168" formatCode="0.0000000"/>
    <numFmt numFmtId="169" formatCode="0.000"/>
    <numFmt numFmtId="170" formatCode="#,##0.00;\(#,##0.00\);\-"/>
    <numFmt numFmtId="171" formatCode="0.0000"/>
    <numFmt numFmtId="172" formatCode="#,##0.00000000000"/>
  </numFmts>
  <fonts count="25" x14ac:knownFonts="1">
    <font>
      <sz val="11"/>
      <color theme="1"/>
      <name val="Calibri"/>
      <family val="2"/>
      <charset val="1"/>
    </font>
    <font>
      <sz val="10"/>
      <name val="Arial"/>
    </font>
    <font>
      <b/>
      <sz val="14"/>
      <name val="Arial"/>
      <charset val="1"/>
    </font>
    <font>
      <i/>
      <sz val="11"/>
      <name val="Arial"/>
      <charset val="1"/>
    </font>
    <font>
      <sz val="11"/>
      <name val="Arial"/>
      <charset val="1"/>
    </font>
    <font>
      <b/>
      <sz val="11"/>
      <name val="Arial"/>
      <charset val="1"/>
    </font>
    <font>
      <sz val="11"/>
      <color theme="1"/>
      <name val="Arial"/>
      <charset val="1"/>
    </font>
    <font>
      <sz val="11"/>
      <color rgb="FF0000FF"/>
      <name val="Arial"/>
      <charset val="1"/>
    </font>
    <font>
      <b/>
      <sz val="11"/>
      <color rgb="FFFFFFFF"/>
      <name val="Arial"/>
      <charset val="1"/>
    </font>
    <font>
      <sz val="11"/>
      <color rgb="FF008000"/>
      <name val="Arial"/>
      <charset val="1"/>
    </font>
    <font>
      <sz val="11"/>
      <color theme="3"/>
      <name val="Arial"/>
      <family val="2"/>
    </font>
    <font>
      <sz val="11"/>
      <color rgb="FF00B050"/>
      <name val="Arial"/>
      <family val="2"/>
    </font>
    <font>
      <sz val="11"/>
      <color theme="1"/>
      <name val="Arial"/>
      <family val="2"/>
    </font>
    <font>
      <sz val="11"/>
      <color theme="9" tint="0.59999389629810485"/>
      <name val="Arial"/>
      <family val="2"/>
    </font>
    <font>
      <sz val="11"/>
      <color rgb="FFC3BF11"/>
      <name val="Arial"/>
      <family val="2"/>
    </font>
    <font>
      <sz val="11"/>
      <name val="Arial"/>
      <family val="2"/>
    </font>
    <font>
      <sz val="9"/>
      <color indexed="81"/>
      <name val="Tahoma"/>
      <family val="2"/>
    </font>
    <font>
      <b/>
      <sz val="11"/>
      <color theme="1"/>
      <name val="Calibri"/>
      <family val="2"/>
      <charset val="1"/>
    </font>
    <font>
      <b/>
      <sz val="11"/>
      <color rgb="FFFFFFFF"/>
      <name val="Arial"/>
      <family val="2"/>
    </font>
    <font>
      <sz val="11"/>
      <color rgb="FF000000"/>
      <name val="Arial"/>
      <family val="2"/>
    </font>
    <font>
      <b/>
      <sz val="11"/>
      <color rgb="FF000000"/>
      <name val="Arial"/>
      <family val="2"/>
    </font>
    <font>
      <b/>
      <sz val="14"/>
      <color rgb="FF000000"/>
      <name val="Arial"/>
      <family val="2"/>
    </font>
    <font>
      <sz val="11"/>
      <color rgb="FF008000"/>
      <name val="Arial"/>
      <family val="2"/>
    </font>
    <font>
      <sz val="11"/>
      <color rgb="FF0000FF"/>
      <name val="Arial"/>
      <family val="2"/>
    </font>
    <font>
      <sz val="11"/>
      <color rgb="FFFF0000"/>
      <name val="Arial"/>
      <family val="2"/>
    </font>
  </fonts>
  <fills count="8">
    <fill>
      <patternFill patternType="none"/>
    </fill>
    <fill>
      <patternFill patternType="gray125"/>
    </fill>
    <fill>
      <patternFill patternType="solid">
        <fgColor rgb="FFFFFF00"/>
        <bgColor rgb="FFFFFF00"/>
      </patternFill>
    </fill>
    <fill>
      <patternFill patternType="solid">
        <fgColor rgb="FF0D2137"/>
        <bgColor rgb="FF003300"/>
      </patternFill>
    </fill>
    <fill>
      <patternFill patternType="solid">
        <fgColor rgb="FFF1E4BE"/>
        <bgColor rgb="FFDCE6F1"/>
      </patternFill>
    </fill>
    <fill>
      <patternFill patternType="solid">
        <fgColor rgb="FFDCE6F1"/>
        <bgColor rgb="FFF1E4BE"/>
      </patternFill>
    </fill>
    <fill>
      <patternFill patternType="solid">
        <fgColor rgb="FF0D2137"/>
        <bgColor indexed="64"/>
      </patternFill>
    </fill>
    <fill>
      <patternFill patternType="solid">
        <fgColor rgb="FFF1E4BE"/>
        <bgColor indexed="64"/>
      </patternFill>
    </fill>
  </fills>
  <borders count="1">
    <border>
      <left/>
      <right/>
      <top/>
      <bottom/>
      <diagonal/>
    </border>
  </borders>
  <cellStyleXfs count="3">
    <xf numFmtId="0" fontId="0" fillId="0" borderId="0"/>
    <xf numFmtId="43" fontId="1" fillId="0" borderId="0" applyBorder="0" applyAlignment="0" applyProtection="0"/>
    <xf numFmtId="9" fontId="1" fillId="0" borderId="0" applyBorder="0" applyAlignment="0" applyProtection="0"/>
  </cellStyleXfs>
  <cellXfs count="53">
    <xf numFmtId="0" fontId="0" fillId="0" borderId="0" xfId="0"/>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2" fillId="0" borderId="0" xfId="0" applyFont="1"/>
    <xf numFmtId="0" fontId="6" fillId="0" borderId="0" xfId="0" applyFont="1"/>
    <xf numFmtId="164" fontId="7" fillId="2" borderId="0" xfId="0" applyNumberFormat="1" applyFont="1" applyFill="1"/>
    <xf numFmtId="0" fontId="8" fillId="3" borderId="0" xfId="0" applyFont="1" applyFill="1" applyAlignment="1">
      <alignment horizontal="center" vertical="center" wrapText="1"/>
    </xf>
    <xf numFmtId="165" fontId="6" fillId="0" borderId="0" xfId="0" applyNumberFormat="1" applyFont="1"/>
    <xf numFmtId="165" fontId="6" fillId="4" borderId="0" xfId="0" applyNumberFormat="1" applyFont="1" applyFill="1"/>
    <xf numFmtId="164" fontId="6" fillId="0" borderId="0" xfId="0" applyNumberFormat="1" applyFont="1"/>
    <xf numFmtId="164" fontId="6" fillId="4" borderId="0" xfId="0" applyNumberFormat="1" applyFont="1" applyFill="1"/>
    <xf numFmtId="0" fontId="5" fillId="0" borderId="0" xfId="0" applyFont="1"/>
    <xf numFmtId="166" fontId="6" fillId="0" borderId="0" xfId="0" applyNumberFormat="1" applyFont="1"/>
    <xf numFmtId="0" fontId="3" fillId="0" borderId="0" xfId="0" applyFont="1"/>
    <xf numFmtId="0" fontId="5" fillId="5" borderId="0" xfId="0" applyFont="1" applyFill="1"/>
    <xf numFmtId="0" fontId="6" fillId="5" borderId="0" xfId="0" applyFont="1" applyFill="1"/>
    <xf numFmtId="0" fontId="4" fillId="0" borderId="0" xfId="0" applyFont="1"/>
    <xf numFmtId="164" fontId="7" fillId="0" borderId="0" xfId="0" applyNumberFormat="1" applyFont="1"/>
    <xf numFmtId="167" fontId="7" fillId="0" borderId="0" xfId="0" applyNumberFormat="1" applyFont="1"/>
    <xf numFmtId="168" fontId="7" fillId="0" borderId="0" xfId="0" applyNumberFormat="1" applyFont="1"/>
    <xf numFmtId="169" fontId="7" fillId="0" borderId="0" xfId="0" applyNumberFormat="1" applyFont="1"/>
    <xf numFmtId="165" fontId="7" fillId="0" borderId="0" xfId="0" applyNumberFormat="1" applyFont="1"/>
    <xf numFmtId="1" fontId="7" fillId="0" borderId="0" xfId="0" applyNumberFormat="1" applyFont="1"/>
    <xf numFmtId="2" fontId="7" fillId="0" borderId="0" xfId="0" applyNumberFormat="1" applyFont="1"/>
    <xf numFmtId="167" fontId="6" fillId="0" borderId="0" xfId="0" applyNumberFormat="1" applyFont="1"/>
    <xf numFmtId="170" fontId="6" fillId="0" borderId="0" xfId="0" applyNumberFormat="1" applyFont="1"/>
    <xf numFmtId="165" fontId="9" fillId="0" borderId="0" xfId="0" applyNumberFormat="1" applyFont="1"/>
    <xf numFmtId="168" fontId="6" fillId="0" borderId="0" xfId="0" applyNumberFormat="1" applyFont="1"/>
    <xf numFmtId="171" fontId="6" fillId="0" borderId="0" xfId="0" applyNumberFormat="1" applyFont="1"/>
    <xf numFmtId="2" fontId="6" fillId="0" borderId="0" xfId="0" applyNumberFormat="1" applyFont="1"/>
    <xf numFmtId="0" fontId="15" fillId="0" borderId="0" xfId="0" applyFont="1" applyAlignment="1">
      <alignment vertical="top" wrapText="1"/>
    </xf>
    <xf numFmtId="0" fontId="12" fillId="0" borderId="0" xfId="0" applyFont="1"/>
    <xf numFmtId="172" fontId="6" fillId="0" borderId="0" xfId="0" applyNumberFormat="1" applyFont="1"/>
    <xf numFmtId="165" fontId="0" fillId="0" borderId="0" xfId="0" applyNumberFormat="1"/>
    <xf numFmtId="0" fontId="17" fillId="0" borderId="0" xfId="0" applyFont="1"/>
    <xf numFmtId="43" fontId="1" fillId="0" borderId="0" xfId="1"/>
    <xf numFmtId="0" fontId="19" fillId="0" borderId="0" xfId="0" applyFont="1"/>
    <xf numFmtId="0" fontId="20" fillId="0" borderId="0" xfId="0" applyFont="1"/>
    <xf numFmtId="0" fontId="21" fillId="0" borderId="0" xfId="0" applyFont="1"/>
    <xf numFmtId="0" fontId="18" fillId="6" borderId="0" xfId="0" applyFont="1" applyFill="1" applyAlignment="1">
      <alignment horizontal="center" vertical="center" wrapText="1"/>
    </xf>
    <xf numFmtId="1" fontId="19" fillId="0" borderId="0" xfId="0" applyNumberFormat="1" applyFont="1"/>
    <xf numFmtId="165" fontId="19" fillId="0" borderId="0" xfId="0" applyNumberFormat="1" applyFont="1"/>
    <xf numFmtId="166" fontId="19" fillId="0" borderId="0" xfId="0" applyNumberFormat="1" applyFont="1"/>
    <xf numFmtId="1" fontId="22" fillId="0" borderId="0" xfId="0" applyNumberFormat="1" applyFont="1"/>
    <xf numFmtId="165" fontId="22" fillId="0" borderId="0" xfId="0" applyNumberFormat="1" applyFont="1"/>
    <xf numFmtId="171" fontId="22" fillId="0" borderId="0" xfId="0" applyNumberFormat="1" applyFont="1"/>
    <xf numFmtId="1" fontId="23" fillId="0" borderId="0" xfId="0" applyNumberFormat="1" applyFont="1"/>
    <xf numFmtId="164" fontId="19" fillId="0" borderId="0" xfId="2" applyNumberFormat="1" applyFont="1"/>
    <xf numFmtId="165" fontId="19" fillId="7" borderId="0" xfId="0" applyNumberFormat="1" applyFont="1" applyFill="1"/>
    <xf numFmtId="164" fontId="24" fillId="0" borderId="0" xfId="2" applyNumberFormat="1" applyFont="1"/>
    <xf numFmtId="165" fontId="24" fillId="0" borderId="0" xfId="0" applyNumberFormat="1" applyFont="1"/>
  </cellXfs>
  <cellStyles count="3">
    <cellStyle name="Comma" xfId="1" builtinId="3"/>
    <cellStyle name="Normal" xfId="0" builtinId="0"/>
    <cellStyle name="Percent" xfId="2"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1E4BE"/>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D2137"/>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C3BF11"/>
      <color rgb="FFE6E6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Karan Arora" id="{64D4E4F5-D0DD-4B68-AEF8-E3D94F550087}" userId="cc914bc1e907e609" providerId="Windows Live"/>
</personList>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38" dT="2026-10-24T09:42:53.29" personId="{64D4E4F5-D0DD-4B68-AEF8-E3D94F550087}" id="{3958D65B-ECFD-4C72-810E-BAC1AD91FB19}">
    <text>Only non financial risks for RA</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2F933C6-9C34-46B3-B99C-5C5E959D8633}">
  <we:reference id="wa200009404" version="1.0.0.8" store="en-US" storeType="OMEX"/>
  <we:alternateReferences>
    <we:reference id="wa200009404" version="1.0.0.8" store="wa200009404" storeType="OMEX"/>
  </we:alternateReferences>
  <we:properties>
    <we:property name="claude.fileId" value="&quot;737e6dec-d1ab-4c0a-bf96-54a901105d20&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6"/>
  <sheetViews>
    <sheetView topLeftCell="A4" zoomScaleNormal="100" workbookViewId="0">
      <selection activeCell="A20" sqref="A20"/>
    </sheetView>
  </sheetViews>
  <sheetFormatPr defaultColWidth="8.6640625" defaultRowHeight="14.4" x14ac:dyDescent="0.3"/>
  <cols>
    <col min="1" max="1" width="140" customWidth="1"/>
  </cols>
  <sheetData>
    <row r="1" spans="1:1" ht="17.399999999999999" x14ac:dyDescent="0.3">
      <c r="A1" s="1" t="s">
        <v>0</v>
      </c>
    </row>
    <row r="2" spans="1:1" x14ac:dyDescent="0.3">
      <c r="A2" s="2" t="s">
        <v>1</v>
      </c>
    </row>
    <row r="3" spans="1:1" x14ac:dyDescent="0.3">
      <c r="A3" s="3"/>
    </row>
    <row r="4" spans="1:1" x14ac:dyDescent="0.3">
      <c r="A4" s="4" t="s">
        <v>2</v>
      </c>
    </row>
    <row r="5" spans="1:1" x14ac:dyDescent="0.3">
      <c r="A5" s="3" t="s">
        <v>3</v>
      </c>
    </row>
    <row r="6" spans="1:1" ht="27.6" x14ac:dyDescent="0.3">
      <c r="A6" s="3" t="s">
        <v>4</v>
      </c>
    </row>
    <row r="7" spans="1:1" ht="41.4" x14ac:dyDescent="0.3">
      <c r="A7" s="3" t="s">
        <v>5</v>
      </c>
    </row>
    <row r="8" spans="1:1" x14ac:dyDescent="0.3">
      <c r="A8" s="3" t="s">
        <v>6</v>
      </c>
    </row>
    <row r="9" spans="1:1" ht="27.6" x14ac:dyDescent="0.3">
      <c r="A9" s="3" t="s">
        <v>7</v>
      </c>
    </row>
    <row r="10" spans="1:1" ht="27.6" x14ac:dyDescent="0.3">
      <c r="A10" s="3" t="s">
        <v>8</v>
      </c>
    </row>
    <row r="11" spans="1:1" x14ac:dyDescent="0.3">
      <c r="A11" s="3" t="s">
        <v>9</v>
      </c>
    </row>
    <row r="12" spans="1:1" x14ac:dyDescent="0.3">
      <c r="A12" s="3"/>
    </row>
    <row r="13" spans="1:1" x14ac:dyDescent="0.3">
      <c r="A13" s="4" t="s">
        <v>10</v>
      </c>
    </row>
    <row r="14" spans="1:1" ht="27.6" x14ac:dyDescent="0.3">
      <c r="A14" s="3" t="s">
        <v>11</v>
      </c>
    </row>
    <row r="15" spans="1:1" x14ac:dyDescent="0.3">
      <c r="A15" s="3"/>
    </row>
    <row r="16" spans="1:1" x14ac:dyDescent="0.3">
      <c r="A16" s="4" t="s">
        <v>12</v>
      </c>
    </row>
    <row r="17" spans="1:1" x14ac:dyDescent="0.3">
      <c r="A17" s="32" t="s">
        <v>206</v>
      </c>
    </row>
    <row r="18" spans="1:1" x14ac:dyDescent="0.3">
      <c r="A18" s="3"/>
    </row>
    <row r="19" spans="1:1" x14ac:dyDescent="0.3">
      <c r="A19" s="4" t="s">
        <v>13</v>
      </c>
    </row>
    <row r="20" spans="1:1" x14ac:dyDescent="0.3">
      <c r="A20" s="3" t="s">
        <v>14</v>
      </c>
    </row>
    <row r="21" spans="1:1" x14ac:dyDescent="0.3">
      <c r="A21" s="3" t="s">
        <v>15</v>
      </c>
    </row>
    <row r="22" spans="1:1" x14ac:dyDescent="0.3">
      <c r="A22" s="3" t="s">
        <v>16</v>
      </c>
    </row>
    <row r="23" spans="1:1" x14ac:dyDescent="0.3">
      <c r="A23" s="3" t="s">
        <v>17</v>
      </c>
    </row>
    <row r="24" spans="1:1" x14ac:dyDescent="0.3">
      <c r="A24" s="3" t="s">
        <v>18</v>
      </c>
    </row>
    <row r="25" spans="1:1" x14ac:dyDescent="0.3">
      <c r="A25" s="3" t="s">
        <v>19</v>
      </c>
    </row>
    <row r="26" spans="1:1" x14ac:dyDescent="0.3">
      <c r="A26" s="3" t="s">
        <v>20</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4"/>
  <sheetViews>
    <sheetView zoomScaleNormal="100" workbookViewId="0">
      <selection activeCell="D18" sqref="D18"/>
    </sheetView>
  </sheetViews>
  <sheetFormatPr defaultColWidth="8.6640625" defaultRowHeight="14.4" x14ac:dyDescent="0.3"/>
  <cols>
    <col min="1" max="1" width="44" customWidth="1"/>
    <col min="2" max="5" width="18" customWidth="1"/>
  </cols>
  <sheetData>
    <row r="1" spans="1:5" ht="17.399999999999999" x14ac:dyDescent="0.3">
      <c r="A1" s="5" t="s">
        <v>21</v>
      </c>
      <c r="B1" s="6"/>
      <c r="C1" s="6"/>
      <c r="D1" s="6"/>
      <c r="E1" s="6"/>
    </row>
    <row r="2" spans="1:5" x14ac:dyDescent="0.3">
      <c r="A2" s="6"/>
      <c r="B2" s="6"/>
      <c r="C2" s="6"/>
      <c r="D2" s="6"/>
      <c r="E2" s="6"/>
    </row>
    <row r="3" spans="1:5" x14ac:dyDescent="0.3">
      <c r="A3" s="6" t="s">
        <v>22</v>
      </c>
      <c r="B3" s="7">
        <v>4.7500000000000001E-2</v>
      </c>
      <c r="C3" s="6" t="s">
        <v>23</v>
      </c>
      <c r="D3" s="6"/>
      <c r="E3" s="6"/>
    </row>
    <row r="4" spans="1:5" x14ac:dyDescent="0.3">
      <c r="A4" s="6"/>
      <c r="B4" s="6"/>
      <c r="C4" s="6"/>
      <c r="D4" s="6"/>
      <c r="E4" s="6"/>
    </row>
    <row r="5" spans="1:5" ht="57.75" customHeight="1" x14ac:dyDescent="0.3">
      <c r="A5" s="8"/>
      <c r="B5" s="8" t="s">
        <v>24</v>
      </c>
      <c r="C5" s="8" t="s">
        <v>25</v>
      </c>
      <c r="D5" s="8" t="s">
        <v>26</v>
      </c>
      <c r="E5" s="8" t="s">
        <v>27</v>
      </c>
    </row>
    <row r="6" spans="1:5" x14ac:dyDescent="0.3">
      <c r="A6" s="6" t="s">
        <v>28</v>
      </c>
      <c r="B6" s="9">
        <f>Term!T6</f>
        <v>-12996781.318246851</v>
      </c>
      <c r="C6" s="9">
        <f>Annuity!N6</f>
        <v>61049165.5204577</v>
      </c>
      <c r="D6" s="9">
        <f>B6+C6</f>
        <v>48052384.202210851</v>
      </c>
      <c r="E6" s="9"/>
    </row>
    <row r="7" spans="1:5" x14ac:dyDescent="0.3">
      <c r="A7" s="6" t="s">
        <v>29</v>
      </c>
      <c r="B7" s="9">
        <f>Capital!M6</f>
        <v>3468958.9954801025</v>
      </c>
      <c r="C7" s="9">
        <f>Capital!N6</f>
        <v>3054434.0365049024</v>
      </c>
      <c r="D7" s="9">
        <f>B7+C7</f>
        <v>6523393.0319850054</v>
      </c>
      <c r="E7" s="9"/>
    </row>
    <row r="8" spans="1:5" x14ac:dyDescent="0.3">
      <c r="A8" s="6" t="s">
        <v>30</v>
      </c>
      <c r="B8" s="9">
        <f>Capital!U6</f>
        <v>2497051.0698496699</v>
      </c>
      <c r="C8" s="9">
        <f>Capital!V6</f>
        <v>1879136.7210702598</v>
      </c>
      <c r="D8" s="9">
        <f>Capital!L6</f>
        <v>4376187.7909199297</v>
      </c>
      <c r="E8" s="9"/>
    </row>
    <row r="9" spans="1:5" x14ac:dyDescent="0.3">
      <c r="A9" s="6" t="s">
        <v>31</v>
      </c>
      <c r="B9" s="9">
        <f>RA!E6</f>
        <v>2120324.0839846218</v>
      </c>
      <c r="C9" s="9">
        <f>RA!F6</f>
        <v>3343105.3961228123</v>
      </c>
      <c r="D9" s="9">
        <f>B9+C9</f>
        <v>5463429.4801074341</v>
      </c>
      <c r="E9" s="9">
        <f>D9*$B$3/Inputs!$B$5</f>
        <v>4325215.005085052</v>
      </c>
    </row>
    <row r="10" spans="1:5" x14ac:dyDescent="0.3">
      <c r="A10" s="6" t="s">
        <v>32</v>
      </c>
      <c r="B10" s="9">
        <f>RA!C6</f>
        <v>1221598.9913793413</v>
      </c>
      <c r="C10" s="9">
        <f>RA!D6</f>
        <v>2679071.8400980351</v>
      </c>
      <c r="D10" s="10">
        <f>RA!B6</f>
        <v>3900670.8314773766</v>
      </c>
      <c r="E10" s="9">
        <f>D10*$B$3/Inputs!$B$5</f>
        <v>3088031.0749195903</v>
      </c>
    </row>
    <row r="11" spans="1:5" x14ac:dyDescent="0.3">
      <c r="A11" s="6" t="s">
        <v>33</v>
      </c>
      <c r="B11" s="9">
        <f>RA!J6</f>
        <v>1422131.0133622363</v>
      </c>
      <c r="C11" s="9">
        <f>RA!K6</f>
        <v>2478539.8181151394</v>
      </c>
      <c r="D11" s="9">
        <f>B11+C11</f>
        <v>3900670.8314773757</v>
      </c>
      <c r="E11" s="9"/>
    </row>
    <row r="12" spans="1:5" x14ac:dyDescent="0.3">
      <c r="A12" s="6" t="s">
        <v>34</v>
      </c>
      <c r="B12" s="11">
        <f>IF(B9=0,0,1-B10/B9)</f>
        <v>0.42386213475269785</v>
      </c>
      <c r="C12" s="11">
        <f>IF(C9=0,0,1-C10/C9)</f>
        <v>0.19862776590737896</v>
      </c>
      <c r="D12" s="11">
        <f>IF(D9=0,0,1-D10/D9)</f>
        <v>0.28603986824029204</v>
      </c>
      <c r="E12" s="11"/>
    </row>
    <row r="13" spans="1:5" x14ac:dyDescent="0.3">
      <c r="A13" s="6" t="s">
        <v>35</v>
      </c>
      <c r="B13" s="11">
        <f>IF(B6=0,0,B10/ABS(B6))</f>
        <v>9.3992424852472944E-2</v>
      </c>
      <c r="C13" s="11">
        <f>IF(C6=0,0,C10/C6)</f>
        <v>4.3883840462983437E-2</v>
      </c>
      <c r="D13" s="11"/>
      <c r="E13" s="11"/>
    </row>
    <row r="14" spans="1:5" x14ac:dyDescent="0.3">
      <c r="A14" s="6" t="s">
        <v>36</v>
      </c>
      <c r="B14" s="9"/>
      <c r="C14" s="9"/>
      <c r="D14" s="9">
        <f>'Factor method'!H9</f>
        <v>2704841.6202753717</v>
      </c>
      <c r="E14" s="9"/>
    </row>
    <row r="15" spans="1:5" x14ac:dyDescent="0.3">
      <c r="A15" s="6" t="s">
        <v>37</v>
      </c>
      <c r="B15" s="11"/>
      <c r="C15" s="11"/>
      <c r="D15" s="11">
        <f>'Factor method'!H11</f>
        <v>-0.30657014212836964</v>
      </c>
      <c r="E15" s="11"/>
    </row>
    <row r="16" spans="1:5" x14ac:dyDescent="0.3">
      <c r="A16" s="6" t="s">
        <v>38</v>
      </c>
      <c r="B16" s="11"/>
      <c r="C16" s="11"/>
      <c r="D16" s="12">
        <f>Confidence!F12</f>
        <v>0.7705173408659497</v>
      </c>
      <c r="E16" s="11"/>
    </row>
    <row r="17" spans="1:5" x14ac:dyDescent="0.3">
      <c r="A17" s="6" t="s">
        <v>39</v>
      </c>
      <c r="B17" s="11"/>
      <c r="C17" s="11"/>
      <c r="D17" s="11">
        <f>Confidence!F5</f>
        <v>0.98916032842147072</v>
      </c>
      <c r="E17" s="11"/>
    </row>
    <row r="18" spans="1:5" x14ac:dyDescent="0.3">
      <c r="A18" s="6" t="s">
        <v>220</v>
      </c>
      <c r="B18" s="6"/>
      <c r="C18" s="6"/>
      <c r="D18" s="12">
        <f>'Confidence Factor method'!F12</f>
        <v>0.696206412543249</v>
      </c>
      <c r="E18" s="6"/>
    </row>
    <row r="19" spans="1:5" x14ac:dyDescent="0.3">
      <c r="A19" s="13" t="s">
        <v>40</v>
      </c>
      <c r="B19" s="6"/>
      <c r="C19" s="6"/>
      <c r="D19" s="6"/>
      <c r="E19" s="6"/>
    </row>
    <row r="20" spans="1:5" x14ac:dyDescent="0.3">
      <c r="A20" s="6" t="s">
        <v>41</v>
      </c>
      <c r="B20" s="6"/>
      <c r="C20" s="6"/>
      <c r="D20" s="14">
        <f>SUMPRODUCT(ABS(Term!AB6:AB25))</f>
        <v>1.1795009413617663E-12</v>
      </c>
      <c r="E20" s="6"/>
    </row>
    <row r="21" spans="1:5" x14ac:dyDescent="0.3">
      <c r="A21" s="6" t="s">
        <v>42</v>
      </c>
      <c r="B21" s="6"/>
      <c r="C21" s="6"/>
      <c r="D21" s="14">
        <f>SUMPRODUCT(ABS(Capital!W6:W50))</f>
        <v>0</v>
      </c>
      <c r="E21" s="6"/>
    </row>
    <row r="22" spans="1:5" x14ac:dyDescent="0.3">
      <c r="A22" s="6" t="s">
        <v>43</v>
      </c>
      <c r="B22" s="6"/>
      <c r="C22" s="6"/>
      <c r="D22" s="14">
        <f>SUMPRODUCT(ABS(RA!I6:I50))</f>
        <v>0</v>
      </c>
      <c r="E22" s="6"/>
    </row>
    <row r="23" spans="1:5" x14ac:dyDescent="0.3">
      <c r="A23" s="6"/>
      <c r="B23" s="6"/>
      <c r="C23" s="6"/>
      <c r="D23" s="6"/>
      <c r="E23" s="6"/>
    </row>
    <row r="24" spans="1:5" x14ac:dyDescent="0.3">
      <c r="A24" s="15" t="s">
        <v>44</v>
      </c>
      <c r="B24" s="6"/>
      <c r="C24" s="6"/>
      <c r="D24" s="6"/>
      <c r="E24" s="6"/>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3"/>
  <sheetViews>
    <sheetView zoomScaleNormal="100" workbookViewId="0">
      <selection activeCell="B5" sqref="B5"/>
    </sheetView>
  </sheetViews>
  <sheetFormatPr defaultColWidth="8.6640625" defaultRowHeight="14.4" x14ac:dyDescent="0.3"/>
  <cols>
    <col min="1" max="1" width="38" customWidth="1"/>
    <col min="2" max="2" width="14" customWidth="1"/>
    <col min="3" max="3" width="50" customWidth="1"/>
    <col min="4" max="5" width="12" customWidth="1"/>
  </cols>
  <sheetData>
    <row r="1" spans="1:5" ht="17.399999999999999" x14ac:dyDescent="0.3">
      <c r="A1" s="5" t="s">
        <v>45</v>
      </c>
      <c r="B1" s="6"/>
      <c r="C1" s="6"/>
      <c r="D1" s="6"/>
      <c r="E1" s="6"/>
    </row>
    <row r="2" spans="1:5" x14ac:dyDescent="0.3">
      <c r="A2" s="15" t="s">
        <v>46</v>
      </c>
      <c r="B2" s="6"/>
      <c r="C2" s="6"/>
      <c r="D2" s="6"/>
      <c r="E2" s="6"/>
    </row>
    <row r="3" spans="1:5" x14ac:dyDescent="0.3">
      <c r="A3" s="6"/>
      <c r="B3" s="6"/>
      <c r="C3" s="6"/>
      <c r="D3" s="6"/>
      <c r="E3" s="6"/>
    </row>
    <row r="4" spans="1:5" x14ac:dyDescent="0.3">
      <c r="A4" s="16" t="s">
        <v>47</v>
      </c>
      <c r="B4" s="17"/>
      <c r="C4" s="17"/>
      <c r="D4" s="6"/>
      <c r="E4" s="6"/>
    </row>
    <row r="5" spans="1:5" x14ac:dyDescent="0.3">
      <c r="A5" s="18" t="s">
        <v>48</v>
      </c>
      <c r="B5" s="7">
        <v>0.06</v>
      </c>
      <c r="C5" s="18" t="s">
        <v>49</v>
      </c>
      <c r="D5" s="6"/>
      <c r="E5" s="6"/>
    </row>
    <row r="6" spans="1:5" x14ac:dyDescent="0.3">
      <c r="A6" s="18" t="s">
        <v>50</v>
      </c>
      <c r="B6" s="19">
        <v>0.03</v>
      </c>
      <c r="C6" s="18" t="s">
        <v>51</v>
      </c>
      <c r="D6" s="6"/>
      <c r="E6" s="6"/>
    </row>
    <row r="7" spans="1:5" x14ac:dyDescent="0.3">
      <c r="A7" s="16" t="s">
        <v>52</v>
      </c>
      <c r="B7" s="17"/>
      <c r="C7" s="17"/>
      <c r="D7" s="6"/>
      <c r="E7" s="6"/>
    </row>
    <row r="8" spans="1:5" x14ac:dyDescent="0.3">
      <c r="A8" s="18" t="s">
        <v>53</v>
      </c>
      <c r="B8" s="20">
        <v>2.2000000000000001E-4</v>
      </c>
      <c r="C8" s="18" t="s">
        <v>54</v>
      </c>
      <c r="D8" s="6"/>
      <c r="E8" s="6"/>
    </row>
    <row r="9" spans="1:5" x14ac:dyDescent="0.3">
      <c r="A9" s="18" t="s">
        <v>55</v>
      </c>
      <c r="B9" s="21">
        <v>2.7E-6</v>
      </c>
      <c r="C9" s="18"/>
      <c r="D9" s="6"/>
      <c r="E9" s="6"/>
    </row>
    <row r="10" spans="1:5" x14ac:dyDescent="0.3">
      <c r="A10" s="18" t="s">
        <v>56</v>
      </c>
      <c r="B10" s="22">
        <v>1.1240000000000001</v>
      </c>
      <c r="C10" s="18"/>
      <c r="D10" s="6"/>
      <c r="E10" s="6"/>
    </row>
    <row r="11" spans="1:5" x14ac:dyDescent="0.3">
      <c r="A11" s="6"/>
      <c r="B11" s="6"/>
      <c r="C11" s="6"/>
      <c r="D11" s="6"/>
      <c r="E11" s="6"/>
    </row>
    <row r="12" spans="1:5" x14ac:dyDescent="0.3">
      <c r="A12" s="16" t="s">
        <v>57</v>
      </c>
      <c r="B12" s="17"/>
      <c r="C12" s="17"/>
      <c r="D12" s="6"/>
      <c r="E12" s="6"/>
    </row>
    <row r="13" spans="1:5" x14ac:dyDescent="0.3">
      <c r="A13" s="18" t="s">
        <v>58</v>
      </c>
      <c r="B13" s="23">
        <v>10000</v>
      </c>
      <c r="C13" s="18"/>
      <c r="D13" s="6"/>
      <c r="E13" s="6"/>
    </row>
    <row r="14" spans="1:5" x14ac:dyDescent="0.3">
      <c r="A14" s="18" t="s">
        <v>59</v>
      </c>
      <c r="B14" s="24">
        <v>40</v>
      </c>
      <c r="C14" s="18"/>
      <c r="D14" s="6"/>
      <c r="E14" s="6"/>
    </row>
    <row r="15" spans="1:5" x14ac:dyDescent="0.3">
      <c r="A15" s="18" t="s">
        <v>60</v>
      </c>
      <c r="B15" s="24">
        <v>20</v>
      </c>
      <c r="C15" s="18" t="s">
        <v>61</v>
      </c>
      <c r="D15" s="6"/>
      <c r="E15" s="6"/>
    </row>
    <row r="16" spans="1:5" x14ac:dyDescent="0.3">
      <c r="A16" s="18" t="s">
        <v>62</v>
      </c>
      <c r="B16" s="23">
        <v>200000</v>
      </c>
      <c r="C16" s="18"/>
      <c r="D16" s="6"/>
      <c r="E16" s="6"/>
    </row>
    <row r="17" spans="1:5" x14ac:dyDescent="0.3">
      <c r="A17" s="18" t="s">
        <v>63</v>
      </c>
      <c r="B17" s="23">
        <v>400</v>
      </c>
      <c r="C17" s="18" t="s">
        <v>64</v>
      </c>
      <c r="D17" s="6"/>
      <c r="E17" s="6"/>
    </row>
    <row r="18" spans="1:5" x14ac:dyDescent="0.3">
      <c r="A18" s="18" t="s">
        <v>65</v>
      </c>
      <c r="B18" s="23">
        <v>60</v>
      </c>
      <c r="C18" s="18"/>
      <c r="D18" s="6"/>
      <c r="E18" s="6"/>
    </row>
    <row r="19" spans="1:5" x14ac:dyDescent="0.3">
      <c r="A19" s="18" t="s">
        <v>66</v>
      </c>
      <c r="B19" s="19">
        <v>0.03</v>
      </c>
      <c r="C19" s="18" t="s">
        <v>67</v>
      </c>
      <c r="D19" s="6"/>
      <c r="E19" s="6"/>
    </row>
    <row r="20" spans="1:5" x14ac:dyDescent="0.3">
      <c r="A20" s="18" t="s">
        <v>68</v>
      </c>
      <c r="B20" s="19">
        <v>0.05</v>
      </c>
      <c r="C20" s="18"/>
      <c r="D20" s="6"/>
      <c r="E20" s="6"/>
    </row>
    <row r="21" spans="1:5" x14ac:dyDescent="0.3">
      <c r="A21" s="18" t="s">
        <v>69</v>
      </c>
      <c r="B21" s="25">
        <v>1</v>
      </c>
      <c r="C21" s="18" t="s">
        <v>70</v>
      </c>
      <c r="D21" s="6"/>
      <c r="E21" s="6"/>
    </row>
    <row r="22" spans="1:5" x14ac:dyDescent="0.3">
      <c r="A22" s="6"/>
      <c r="B22" s="6"/>
      <c r="C22" s="6"/>
      <c r="D22" s="6"/>
      <c r="E22" s="6"/>
    </row>
    <row r="23" spans="1:5" x14ac:dyDescent="0.3">
      <c r="A23" s="16" t="s">
        <v>71</v>
      </c>
      <c r="B23" s="17"/>
      <c r="C23" s="17"/>
      <c r="D23" s="6"/>
      <c r="E23" s="6"/>
    </row>
    <row r="24" spans="1:5" x14ac:dyDescent="0.3">
      <c r="A24" s="18" t="s">
        <v>58</v>
      </c>
      <c r="B24" s="23">
        <v>300</v>
      </c>
      <c r="C24" s="18"/>
      <c r="D24" s="6"/>
      <c r="E24" s="6"/>
    </row>
    <row r="25" spans="1:5" x14ac:dyDescent="0.3">
      <c r="A25" s="18" t="s">
        <v>59</v>
      </c>
      <c r="B25" s="24">
        <v>65</v>
      </c>
      <c r="C25" s="18" t="s">
        <v>72</v>
      </c>
      <c r="D25" s="6"/>
      <c r="E25" s="6"/>
    </row>
    <row r="26" spans="1:5" x14ac:dyDescent="0.3">
      <c r="A26" s="18" t="s">
        <v>73</v>
      </c>
      <c r="B26" s="23">
        <v>12000</v>
      </c>
      <c r="C26" s="18" t="s">
        <v>74</v>
      </c>
      <c r="D26" s="6"/>
      <c r="E26" s="6"/>
    </row>
    <row r="27" spans="1:5" x14ac:dyDescent="0.3">
      <c r="A27" s="18" t="s">
        <v>65</v>
      </c>
      <c r="B27" s="23">
        <v>90</v>
      </c>
      <c r="C27" s="18"/>
      <c r="D27" s="6"/>
      <c r="E27" s="6"/>
    </row>
    <row r="28" spans="1:5" x14ac:dyDescent="0.3">
      <c r="A28" s="18" t="s">
        <v>69</v>
      </c>
      <c r="B28" s="25">
        <v>0.75</v>
      </c>
      <c r="C28" s="18" t="s">
        <v>75</v>
      </c>
      <c r="D28" s="6"/>
      <c r="E28" s="6"/>
    </row>
    <row r="29" spans="1:5" x14ac:dyDescent="0.3">
      <c r="A29" s="6"/>
      <c r="B29" s="6"/>
      <c r="C29" s="6"/>
      <c r="D29" s="6"/>
      <c r="E29" s="6"/>
    </row>
    <row r="30" spans="1:5" x14ac:dyDescent="0.3">
      <c r="A30" s="16" t="s">
        <v>76</v>
      </c>
      <c r="B30" s="17"/>
      <c r="C30" s="17"/>
      <c r="D30" s="6"/>
      <c r="E30" s="6"/>
    </row>
    <row r="31" spans="1:5" x14ac:dyDescent="0.3">
      <c r="A31" s="18" t="s">
        <v>77</v>
      </c>
      <c r="B31" s="7">
        <v>0.15</v>
      </c>
      <c r="C31" s="18" t="s">
        <v>78</v>
      </c>
      <c r="D31" s="6"/>
      <c r="E31" s="6"/>
    </row>
    <row r="32" spans="1:5" x14ac:dyDescent="0.3">
      <c r="A32" s="18" t="s">
        <v>79</v>
      </c>
      <c r="B32" s="7">
        <v>-0.2</v>
      </c>
      <c r="C32" s="18" t="s">
        <v>80</v>
      </c>
      <c r="D32" s="6"/>
      <c r="E32" s="6"/>
    </row>
    <row r="33" spans="1:5" x14ac:dyDescent="0.3">
      <c r="A33" s="18" t="s">
        <v>81</v>
      </c>
      <c r="B33" s="7">
        <v>0.5</v>
      </c>
      <c r="C33" s="18" t="s">
        <v>82</v>
      </c>
      <c r="D33" s="6"/>
      <c r="E33" s="6"/>
    </row>
    <row r="34" spans="1:5" x14ac:dyDescent="0.3">
      <c r="A34" s="18" t="s">
        <v>83</v>
      </c>
      <c r="B34" s="19">
        <v>-0.5</v>
      </c>
      <c r="C34" s="18" t="s">
        <v>84</v>
      </c>
      <c r="D34" s="6"/>
      <c r="E34" s="6"/>
    </row>
    <row r="35" spans="1:5" x14ac:dyDescent="0.3">
      <c r="A35" s="18" t="s">
        <v>85</v>
      </c>
      <c r="B35" s="19">
        <v>0.2</v>
      </c>
      <c r="C35" s="18" t="s">
        <v>86</v>
      </c>
      <c r="D35" s="6"/>
      <c r="E35" s="6"/>
    </row>
    <row r="36" spans="1:5" x14ac:dyDescent="0.3">
      <c r="A36" s="18" t="s">
        <v>87</v>
      </c>
      <c r="B36" s="7">
        <v>0.1</v>
      </c>
      <c r="C36" s="18" t="s">
        <v>88</v>
      </c>
      <c r="D36" s="6"/>
      <c r="E36" s="6"/>
    </row>
    <row r="37" spans="1:5" x14ac:dyDescent="0.3">
      <c r="A37" s="6"/>
      <c r="B37" s="6"/>
      <c r="C37" s="6"/>
      <c r="D37" s="6"/>
      <c r="E37" s="6"/>
    </row>
    <row r="38" spans="1:5" x14ac:dyDescent="0.3">
      <c r="A38" s="16" t="s">
        <v>89</v>
      </c>
      <c r="B38" s="6"/>
      <c r="C38" s="6"/>
      <c r="D38" s="6"/>
      <c r="E38" s="6"/>
    </row>
    <row r="39" spans="1:5" x14ac:dyDescent="0.3">
      <c r="A39" s="6"/>
      <c r="B39" s="13" t="s">
        <v>90</v>
      </c>
      <c r="C39" s="13" t="s">
        <v>91</v>
      </c>
      <c r="D39" s="13" t="s">
        <v>92</v>
      </c>
      <c r="E39" s="13" t="s">
        <v>93</v>
      </c>
    </row>
    <row r="40" spans="1:5" x14ac:dyDescent="0.3">
      <c r="A40" s="13" t="s">
        <v>90</v>
      </c>
      <c r="B40" s="25">
        <v>1</v>
      </c>
      <c r="C40" s="25">
        <v>-0.25</v>
      </c>
      <c r="D40" s="25">
        <v>0</v>
      </c>
      <c r="E40" s="25">
        <v>0.25</v>
      </c>
    </row>
    <row r="41" spans="1:5" x14ac:dyDescent="0.3">
      <c r="A41" s="13" t="s">
        <v>91</v>
      </c>
      <c r="B41" s="25">
        <v>-0.25</v>
      </c>
      <c r="C41" s="25">
        <v>1</v>
      </c>
      <c r="D41" s="25">
        <v>0.25</v>
      </c>
      <c r="E41" s="25">
        <v>0.25</v>
      </c>
    </row>
    <row r="42" spans="1:5" x14ac:dyDescent="0.3">
      <c r="A42" s="13" t="s">
        <v>92</v>
      </c>
      <c r="B42" s="25">
        <v>0</v>
      </c>
      <c r="C42" s="25">
        <v>0.25</v>
      </c>
      <c r="D42" s="25">
        <v>1</v>
      </c>
      <c r="E42" s="25">
        <v>0.5</v>
      </c>
    </row>
    <row r="43" spans="1:5" x14ac:dyDescent="0.3">
      <c r="A43" s="13" t="s">
        <v>93</v>
      </c>
      <c r="B43" s="25">
        <v>0.25</v>
      </c>
      <c r="C43" s="25">
        <v>0.25</v>
      </c>
      <c r="D43" s="25">
        <v>0.5</v>
      </c>
      <c r="E43" s="25">
        <v>1</v>
      </c>
    </row>
  </sheetData>
  <pageMargins left="0.75" right="0.75" top="1" bottom="1"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26"/>
  <sheetViews>
    <sheetView zoomScaleNormal="100" workbookViewId="0">
      <selection activeCell="K3" sqref="K3"/>
    </sheetView>
  </sheetViews>
  <sheetFormatPr defaultColWidth="8.6640625" defaultRowHeight="14.4" x14ac:dyDescent="0.3"/>
  <cols>
    <col min="1" max="1" width="8" customWidth="1"/>
    <col min="2" max="11" width="13" customWidth="1"/>
    <col min="12" max="12" width="19.6640625" bestFit="1" customWidth="1"/>
    <col min="13" max="23" width="13" customWidth="1"/>
    <col min="24" max="24" width="14.44140625" bestFit="1" customWidth="1"/>
    <col min="25" max="39" width="13" customWidth="1"/>
  </cols>
  <sheetData>
    <row r="1" spans="1:28" ht="17.399999999999999" x14ac:dyDescent="0.3">
      <c r="A1" s="5" t="s">
        <v>94</v>
      </c>
      <c r="B1" s="6"/>
      <c r="C1" s="6"/>
      <c r="D1" s="6"/>
      <c r="E1" s="6"/>
      <c r="F1" s="6"/>
      <c r="G1" s="6"/>
      <c r="H1" s="6"/>
      <c r="I1" s="6"/>
      <c r="J1" s="6"/>
      <c r="K1" s="6"/>
      <c r="L1" s="6"/>
      <c r="M1" s="6"/>
      <c r="N1" s="6"/>
      <c r="O1" s="6"/>
      <c r="P1" s="6"/>
      <c r="Q1" s="6"/>
      <c r="R1" s="6"/>
      <c r="S1" s="6"/>
      <c r="T1" s="6"/>
      <c r="U1" s="6"/>
      <c r="V1" s="6"/>
      <c r="W1" s="6"/>
      <c r="X1" s="6"/>
      <c r="Y1" s="6"/>
      <c r="Z1" s="6"/>
      <c r="AA1" s="6"/>
      <c r="AB1" s="6"/>
    </row>
    <row r="2" spans="1:28" x14ac:dyDescent="0.3">
      <c r="A2" s="33" t="s">
        <v>207</v>
      </c>
      <c r="B2" s="6"/>
      <c r="C2" s="6"/>
      <c r="D2" s="6"/>
      <c r="E2" s="6"/>
      <c r="F2" s="6"/>
      <c r="G2" s="6"/>
      <c r="H2" s="6" t="s">
        <v>208</v>
      </c>
      <c r="I2" s="6"/>
      <c r="J2" s="6"/>
      <c r="K2" s="6"/>
      <c r="L2" s="6"/>
      <c r="M2" s="6"/>
      <c r="N2" s="6"/>
      <c r="O2" s="6"/>
      <c r="P2" s="6"/>
      <c r="Q2" s="6"/>
      <c r="R2" s="6"/>
      <c r="S2" s="6"/>
      <c r="T2" s="6"/>
      <c r="U2" s="6"/>
      <c r="V2" s="6"/>
      <c r="W2" s="6"/>
      <c r="X2" s="6"/>
      <c r="Y2" s="6"/>
      <c r="Z2" s="6"/>
      <c r="AA2" s="6"/>
      <c r="AB2" s="6"/>
    </row>
    <row r="3" spans="1:28" x14ac:dyDescent="0.3">
      <c r="A3" s="6" t="s">
        <v>95</v>
      </c>
      <c r="B3" s="6"/>
      <c r="C3" s="6"/>
      <c r="D3" s="6"/>
      <c r="E3" s="6"/>
      <c r="F3" s="6"/>
      <c r="G3" s="6"/>
      <c r="H3" s="6"/>
      <c r="I3" s="6"/>
      <c r="J3" s="6"/>
      <c r="K3" s="6"/>
      <c r="L3" s="34"/>
      <c r="M3" s="6"/>
      <c r="N3" s="6"/>
      <c r="O3" s="6"/>
      <c r="P3" s="6"/>
      <c r="Q3" s="6"/>
      <c r="R3" s="6"/>
      <c r="S3" s="6"/>
      <c r="T3" s="6"/>
      <c r="U3" s="6"/>
      <c r="V3" s="6"/>
      <c r="W3" s="6"/>
      <c r="X3" s="6"/>
      <c r="Y3" s="6"/>
      <c r="Z3" s="6"/>
      <c r="AA3" s="6"/>
      <c r="AB3" s="6"/>
    </row>
    <row r="4" spans="1:28" x14ac:dyDescent="0.3">
      <c r="A4" s="6"/>
      <c r="B4" s="6"/>
      <c r="C4" s="6"/>
      <c r="D4" s="6"/>
      <c r="E4" s="6"/>
      <c r="F4" s="6"/>
      <c r="G4" s="6"/>
      <c r="H4" s="6"/>
      <c r="I4" s="6"/>
      <c r="J4" s="6"/>
      <c r="K4" s="6"/>
      <c r="L4" s="6"/>
      <c r="M4" s="6"/>
      <c r="N4" s="6"/>
      <c r="O4" s="6"/>
      <c r="P4" s="6"/>
      <c r="Q4" s="6"/>
      <c r="R4" s="6"/>
      <c r="S4" s="6"/>
      <c r="T4" s="6"/>
      <c r="U4" s="6"/>
      <c r="V4" s="6"/>
      <c r="W4" s="6"/>
      <c r="X4" s="6"/>
      <c r="Y4" s="6"/>
      <c r="Z4" s="6"/>
      <c r="AA4" s="6"/>
      <c r="AB4" s="6"/>
    </row>
    <row r="5" spans="1:28" ht="57.75" customHeight="1" x14ac:dyDescent="0.3">
      <c r="A5" s="8" t="s">
        <v>96</v>
      </c>
      <c r="B5" s="8" t="s">
        <v>97</v>
      </c>
      <c r="C5" s="8" t="s">
        <v>98</v>
      </c>
      <c r="D5" s="8" t="s">
        <v>68</v>
      </c>
      <c r="E5" s="8" t="s">
        <v>99</v>
      </c>
      <c r="F5" s="8" t="s">
        <v>100</v>
      </c>
      <c r="G5" s="8" t="s">
        <v>101</v>
      </c>
      <c r="H5" s="8" t="s">
        <v>102</v>
      </c>
      <c r="I5" s="8" t="s">
        <v>103</v>
      </c>
      <c r="J5" s="8" t="s">
        <v>104</v>
      </c>
      <c r="K5" s="8" t="s">
        <v>105</v>
      </c>
      <c r="L5" s="8" t="s">
        <v>106</v>
      </c>
      <c r="M5" s="8" t="s">
        <v>107</v>
      </c>
      <c r="N5" s="8" t="s">
        <v>108</v>
      </c>
      <c r="O5" s="8" t="s">
        <v>109</v>
      </c>
      <c r="P5" s="8" t="s">
        <v>110</v>
      </c>
      <c r="Q5" s="8" t="s">
        <v>111</v>
      </c>
      <c r="R5" s="8" t="s">
        <v>112</v>
      </c>
      <c r="S5" s="8" t="s">
        <v>113</v>
      </c>
      <c r="T5" s="8" t="s">
        <v>114</v>
      </c>
      <c r="U5" s="8" t="s">
        <v>115</v>
      </c>
      <c r="V5" s="8" t="s">
        <v>116</v>
      </c>
      <c r="W5" s="8" t="s">
        <v>117</v>
      </c>
      <c r="X5" s="8" t="s">
        <v>118</v>
      </c>
      <c r="Y5" s="8" t="s">
        <v>119</v>
      </c>
      <c r="Z5" s="8" t="s">
        <v>120</v>
      </c>
      <c r="AA5" s="8" t="s">
        <v>121</v>
      </c>
      <c r="AB5" s="8" t="s">
        <v>122</v>
      </c>
    </row>
    <row r="6" spans="1:28" x14ac:dyDescent="0.3">
      <c r="A6" s="6">
        <v>0</v>
      </c>
      <c r="B6" s="6">
        <f>Inputs!$B$14+A6</f>
        <v>40</v>
      </c>
      <c r="C6" s="26">
        <f>MIN(Inputs!$B$21*(1-EXP(-(Inputs!$B$8+Inputs!$B$9*Inputs!$B$10^B6))),1)</f>
        <v>5.0961527760196024E-4</v>
      </c>
      <c r="D6" s="26">
        <f>Inputs!$B$20</f>
        <v>0.05</v>
      </c>
      <c r="E6" s="27">
        <f>Inputs!$B$17</f>
        <v>400</v>
      </c>
      <c r="F6" s="27">
        <f>Inputs!$B$18*(1+Inputs!$B$19)^A6</f>
        <v>60</v>
      </c>
      <c r="G6" s="9">
        <f>Inputs!$B$13</f>
        <v>10000</v>
      </c>
      <c r="H6" s="27">
        <f>F6-E6+C6*Inputs!$B$16*(1/(1+Inputs!$B$6))+(1-C6)*(1-D6)*(1/(1+Inputs!$B$6))*H7</f>
        <v>-1299.6781318246851</v>
      </c>
      <c r="I6" s="26">
        <f>MIN(C6*(1+Inputs!$B$31),1)</f>
        <v>5.8605756924225421E-4</v>
      </c>
      <c r="J6" s="27">
        <f>F6-E6+I6*Inputs!$B$16*(1/(1+Inputs!$B$6))+(1-I6)*(1-D6)*(1/(1+Inputs!$B$6))*J7</f>
        <v>-994.12088485421214</v>
      </c>
      <c r="K6" s="26">
        <f>MIN(D6*(1+Inputs!$B$33),1)</f>
        <v>7.5000000000000011E-2</v>
      </c>
      <c r="L6" s="27">
        <f>F6-E6+C6*Inputs!$B$16*(1/(1+Inputs!$B$6))+(1-C6)*(1-K6)*(1/(1+Inputs!$B$6))*L7</f>
        <v>-1233.4987214809976</v>
      </c>
      <c r="M6" s="26">
        <f>MAX(D6*(1+Inputs!$B$34),D6-Inputs!$B$35)</f>
        <v>2.5000000000000001E-2</v>
      </c>
      <c r="N6" s="27">
        <f>F6-E6+C6*Inputs!$B$16*(1/(1+Inputs!$B$6))+(1-C6)*(1-M6)*(1/(1+Inputs!$B$6))*N7</f>
        <v>-1348.0006478438877</v>
      </c>
      <c r="O6" s="27">
        <f>F6*(1+Inputs!$B$36)</f>
        <v>66</v>
      </c>
      <c r="P6" s="27">
        <f>O6-E6+C6*Inputs!$B$16*(1/(1+Inputs!$B$6))+(1-C6)*(1-D6)*(1/(1+Inputs!$B$6))*P7</f>
        <v>-1223.2069544984111</v>
      </c>
      <c r="Q6" s="27">
        <f>C6*Inputs!$B$16*(1/(1+Inputs!$B$6))+(1-C6)*(1-D6)*(1/(1+Inputs!$B$6))*Q7</f>
        <v>2040.0114572398918</v>
      </c>
      <c r="R6" s="27">
        <f>F6+(1-C6)*(1-D6)*(1/(1+Inputs!$B$6))*R7</f>
        <v>764.71177326274051</v>
      </c>
      <c r="S6" s="27">
        <f>E6+(1-C6)*(1-D6)*(1/(1+Inputs!$B$6))*S7</f>
        <v>4104.4013623273177</v>
      </c>
      <c r="T6" s="9">
        <f t="shared" ref="T6:T25" si="0">G6*H6</f>
        <v>-12996781.318246851</v>
      </c>
      <c r="U6" s="9">
        <f t="shared" ref="U6:U25" si="1">G6*MAX(J6-H6,0)</f>
        <v>3055572.46970473</v>
      </c>
      <c r="V6" s="9">
        <f t="shared" ref="V6:V25" si="2">G6*MAX(L6-H6,N6-H6,0)</f>
        <v>661794.10343687551</v>
      </c>
      <c r="W6" s="9">
        <f t="shared" ref="W6:W25" si="3">G6*MAX(P6-H6,0)</f>
        <v>764711.77326274069</v>
      </c>
      <c r="X6" s="9">
        <f>G6*Inputs!$B$16</f>
        <v>2000000000</v>
      </c>
      <c r="Y6" s="9">
        <f t="shared" ref="Y6:Y25" si="4">G6*Q6</f>
        <v>20400114.57239892</v>
      </c>
      <c r="Z6" s="9">
        <f t="shared" ref="Z6:Z25" si="5">G6*MAX(S6-Q6-R6,0)</f>
        <v>12996781.318246856</v>
      </c>
      <c r="AA6" s="9">
        <f t="shared" ref="AA6:AA25" si="6">G6*R6</f>
        <v>7647117.7326274049</v>
      </c>
      <c r="AB6" s="14">
        <f t="shared" ref="AB6:AB25" si="7">H6-(Q6+R6-S6)</f>
        <v>0</v>
      </c>
    </row>
    <row r="7" spans="1:28" x14ac:dyDescent="0.3">
      <c r="A7" s="6">
        <v>1</v>
      </c>
      <c r="B7" s="6">
        <f>Inputs!$B$14+A7</f>
        <v>41</v>
      </c>
      <c r="C7" s="26">
        <f>MIN(Inputs!$B$21*(1-EXP(-(Inputs!$B$8+Inputs!$B$9*Inputs!$B$10^B7))),1)</f>
        <v>5.4552472462565671E-4</v>
      </c>
      <c r="D7" s="26">
        <f>Inputs!$B$20</f>
        <v>0.05</v>
      </c>
      <c r="E7" s="27">
        <f>Inputs!$B$17</f>
        <v>400</v>
      </c>
      <c r="F7" s="27">
        <f>Inputs!$B$18*(1+Inputs!$B$19)^A7</f>
        <v>61.800000000000004</v>
      </c>
      <c r="G7" s="9">
        <f t="shared" ref="G7:G25" si="8">G6*(1-C6)*(1-D6)</f>
        <v>9495.158654862782</v>
      </c>
      <c r="H7" s="27">
        <f>F7-E7+C7*Inputs!$B$16*(1/(1+Inputs!$B$6))+(1-C7)*(1-D7)*(1/(1+Inputs!$B$6))*H8</f>
        <v>-1148.3657840107733</v>
      </c>
      <c r="I7" s="26">
        <f>MIN(C7*(1+Inputs!$B$31),1)</f>
        <v>6.2735343331950515E-4</v>
      </c>
      <c r="J7" s="27">
        <f>F7-E7+I7*Inputs!$B$16*(1/(1+Inputs!$B$6))+(1-I7)*(1-D7)*(1/(1+Inputs!$B$6))*J8</f>
        <v>-833.07351877645556</v>
      </c>
      <c r="K7" s="26">
        <f>MIN(D7*(1+Inputs!$B$33),1)</f>
        <v>7.5000000000000011E-2</v>
      </c>
      <c r="L7" s="27">
        <f>F7-E7+C7*Inputs!$B$16*(1/(1+Inputs!$B$6))+(1-C7)*(1-K7)*(1/(1+Inputs!$B$6))*L8</f>
        <v>-1105.6734558103301</v>
      </c>
      <c r="M7" s="26">
        <f>MAX(D7*(1+Inputs!$B$34),D7-Inputs!$B$35)</f>
        <v>2.5000000000000001E-2</v>
      </c>
      <c r="N7" s="27">
        <f>F7-E7+C7*Inputs!$B$16*(1/(1+Inputs!$B$6))+(1-C7)*(1-M7)*(1/(1+Inputs!$B$6))*N8</f>
        <v>-1169.9949373456564</v>
      </c>
      <c r="O7" s="27">
        <f>F7*(1+Inputs!$B$36)</f>
        <v>67.98</v>
      </c>
      <c r="P7" s="27">
        <f>O7-E7+C7*Inputs!$B$16*(1/(1+Inputs!$B$6))+(1-C7)*(1-D7)*(1/(1+Inputs!$B$6))*P8</f>
        <v>-1071.9212344414104</v>
      </c>
      <c r="Q7" s="27">
        <f>C7*Inputs!$B$16*(1/(1+Inputs!$B$6))+(1-C7)*(1-D7)*(1/(1+Inputs!$B$6))*Q8</f>
        <v>2105.5875084433637</v>
      </c>
      <c r="R7" s="27">
        <f>F7+(1-C7)*(1-D7)*(1/(1+Inputs!$B$6))*R8</f>
        <v>764.44549569362869</v>
      </c>
      <c r="S7" s="27">
        <f>E7+(1-C7)*(1-D7)*(1/(1+Inputs!$B$6))*S8</f>
        <v>4018.398788147766</v>
      </c>
      <c r="T7" s="9">
        <f t="shared" si="0"/>
        <v>-10903915.312998177</v>
      </c>
      <c r="U7" s="9">
        <f t="shared" si="1"/>
        <v>2993750.0810509236</v>
      </c>
      <c r="V7" s="9">
        <f t="shared" si="2"/>
        <v>405370.42960868042</v>
      </c>
      <c r="W7" s="9">
        <f t="shared" si="3"/>
        <v>725853.12646062241</v>
      </c>
      <c r="X7" s="9">
        <f>G7*Inputs!$B$16</f>
        <v>1899031730.9725564</v>
      </c>
      <c r="Y7" s="9">
        <f t="shared" si="4"/>
        <v>19992887.454366967</v>
      </c>
      <c r="Z7" s="9">
        <f t="shared" si="5"/>
        <v>10903915.312998179</v>
      </c>
      <c r="AA7" s="9">
        <f t="shared" si="6"/>
        <v>7258531.2646062281</v>
      </c>
      <c r="AB7" s="14">
        <f t="shared" si="7"/>
        <v>0</v>
      </c>
    </row>
    <row r="8" spans="1:28" x14ac:dyDescent="0.3">
      <c r="A8" s="6">
        <v>2</v>
      </c>
      <c r="B8" s="6">
        <f>Inputs!$B$14+A8</f>
        <v>42</v>
      </c>
      <c r="C8" s="26">
        <f>MIN(Inputs!$B$21*(1-EXP(-(Inputs!$B$8+Inputs!$B$9*Inputs!$B$10^B8))),1)</f>
        <v>5.8588540305093417E-4</v>
      </c>
      <c r="D8" s="26">
        <f>Inputs!$B$20</f>
        <v>0.05</v>
      </c>
      <c r="E8" s="27">
        <f>Inputs!$B$17</f>
        <v>400</v>
      </c>
      <c r="F8" s="27">
        <f>Inputs!$B$18*(1+Inputs!$B$19)^A8</f>
        <v>63.653999999999996</v>
      </c>
      <c r="G8" s="9">
        <f t="shared" si="8"/>
        <v>9015.4798704996956</v>
      </c>
      <c r="H8" s="27">
        <f>F8-E8+C8*Inputs!$B$16*(1/(1+Inputs!$B$6))+(1-C8)*(1-D8)*(1/(1+Inputs!$B$6))*H9</f>
        <v>-993.77971293711005</v>
      </c>
      <c r="I8" s="26">
        <f>MIN(C8*(1+Inputs!$B$31),1)</f>
        <v>6.7376821350857426E-4</v>
      </c>
      <c r="J8" s="27">
        <f>F8-E8+I8*Inputs!$B$16*(1/(1+Inputs!$B$6))+(1-I8)*(1-D8)*(1/(1+Inputs!$B$6))*J9</f>
        <v>-669.04121056748204</v>
      </c>
      <c r="K8" s="26">
        <f>MIN(D8*(1+Inputs!$B$33),1)</f>
        <v>7.5000000000000011E-2</v>
      </c>
      <c r="L8" s="27">
        <f>F8-E8+C8*Inputs!$B$16*(1/(1+Inputs!$B$6))+(1-C8)*(1-K8)*(1/(1+Inputs!$B$6))*L9</f>
        <v>-973.0741921493842</v>
      </c>
      <c r="M8" s="26">
        <f>MAX(D8*(1+Inputs!$B$34),D8-Inputs!$B$35)</f>
        <v>2.5000000000000001E-2</v>
      </c>
      <c r="N8" s="27">
        <f>F8-E8+C8*Inputs!$B$16*(1/(1+Inputs!$B$6))+(1-C8)*(1-M8)*(1/(1+Inputs!$B$6))*N9</f>
        <v>-991.15991289613999</v>
      </c>
      <c r="O8" s="27">
        <f>F8*(1+Inputs!$B$36)</f>
        <v>70.019400000000005</v>
      </c>
      <c r="P8" s="27">
        <f>O8-E8+C8*Inputs!$B$16*(1/(1+Inputs!$B$6))+(1-C8)*(1-D8)*(1/(1+Inputs!$B$6))*P9</f>
        <v>-917.55656705650267</v>
      </c>
      <c r="Q8" s="27">
        <f>C8*Inputs!$B$16*(1/(1+Inputs!$B$6))+(1-C8)*(1-D8)*(1/(1+Inputs!$B$6))*Q9</f>
        <v>2169.2362022677144</v>
      </c>
      <c r="R8" s="27">
        <f>F8+(1-C8)*(1-D8)*(1/(1+Inputs!$B$6))*R9</f>
        <v>762.2314588060741</v>
      </c>
      <c r="S8" s="27">
        <f>E8+(1-C8)*(1-D8)*(1/(1+Inputs!$B$6))*S9</f>
        <v>3925.247374010899</v>
      </c>
      <c r="T8" s="9">
        <f t="shared" si="0"/>
        <v>-8959400.9976954814</v>
      </c>
      <c r="U8" s="9">
        <f t="shared" si="1"/>
        <v>2927673.4312895988</v>
      </c>
      <c r="V8" s="9">
        <f t="shared" si="2"/>
        <v>186670.20586995536</v>
      </c>
      <c r="W8" s="9">
        <f t="shared" si="3"/>
        <v>687188.23735277762</v>
      </c>
      <c r="X8" s="9">
        <f>G8*Inputs!$B$16</f>
        <v>1803095974.0999391</v>
      </c>
      <c r="Y8" s="9">
        <f t="shared" si="4"/>
        <v>19556705.315903787</v>
      </c>
      <c r="Z8" s="9">
        <f t="shared" si="5"/>
        <v>8959400.9976954851</v>
      </c>
      <c r="AA8" s="9">
        <f t="shared" si="6"/>
        <v>6871882.3735277792</v>
      </c>
      <c r="AB8" s="14">
        <f t="shared" si="7"/>
        <v>0</v>
      </c>
    </row>
    <row r="9" spans="1:28" x14ac:dyDescent="0.3">
      <c r="A9" s="6">
        <v>3</v>
      </c>
      <c r="B9" s="6">
        <f>Inputs!$B$14+A9</f>
        <v>43</v>
      </c>
      <c r="C9" s="26">
        <f>MIN(Inputs!$B$21*(1-EXP(-(Inputs!$B$8+Inputs!$B$9*Inputs!$B$10^B9))),1)</f>
        <v>6.3124886004384262E-4</v>
      </c>
      <c r="D9" s="26">
        <f>Inputs!$B$20</f>
        <v>0.05</v>
      </c>
      <c r="E9" s="27">
        <f>Inputs!$B$17</f>
        <v>400</v>
      </c>
      <c r="F9" s="27">
        <f>Inputs!$B$18*(1+Inputs!$B$19)^A9</f>
        <v>65.56362</v>
      </c>
      <c r="G9" s="9">
        <f t="shared" si="8"/>
        <v>8559.6879408199675</v>
      </c>
      <c r="H9" s="27">
        <f>F9-E9+C9*Inputs!$B$16*(1/(1+Inputs!$B$6))+(1-C9)*(1-D9)*(1/(1+Inputs!$B$6))*H10</f>
        <v>-836.63101720114958</v>
      </c>
      <c r="I9" s="26">
        <f>MIN(C9*(1+Inputs!$B$31),1)</f>
        <v>7.2593618905041893E-4</v>
      </c>
      <c r="J9" s="27">
        <f>F9-E9+I9*Inputs!$B$16*(1/(1+Inputs!$B$6))+(1-I9)*(1-D9)*(1/(1+Inputs!$B$6))*J10</f>
        <v>-502.89642466375324</v>
      </c>
      <c r="K9" s="26">
        <f>MIN(D9*(1+Inputs!$B$33),1)</f>
        <v>7.5000000000000011E-2</v>
      </c>
      <c r="L9" s="27">
        <f>F9-E9+C9*Inputs!$B$16*(1/(1+Inputs!$B$6))+(1-C9)*(1-K9)*(1/(1+Inputs!$B$6))*L10</f>
        <v>-836.17327309248037</v>
      </c>
      <c r="M9" s="26">
        <f>MAX(D9*(1+Inputs!$B$34),D9-Inputs!$B$35)</f>
        <v>2.5000000000000001E-2</v>
      </c>
      <c r="N9" s="27">
        <f>F9-E9+C9*Inputs!$B$16*(1/(1+Inputs!$B$6))+(1-C9)*(1-M9)*(1/(1+Inputs!$B$6))*N10</f>
        <v>-812.40973376657803</v>
      </c>
      <c r="O9" s="27">
        <f>F9*(1+Inputs!$B$36)</f>
        <v>72.119982000000007</v>
      </c>
      <c r="P9" s="27">
        <f>O9-E9+C9*Inputs!$B$16*(1/(1+Inputs!$B$6))+(1-C9)*(1-D9)*(1/(1+Inputs!$B$6))*P10</f>
        <v>-760.84611250326748</v>
      </c>
      <c r="Q9" s="27">
        <f>C9*Inputs!$B$16*(1/(1+Inputs!$B$6))+(1-C9)*(1-D9)*(1/(1+Inputs!$B$6))*Q10</f>
        <v>2229.8708779828976</v>
      </c>
      <c r="R9" s="27">
        <f>F9+(1-C9)*(1-D9)*(1/(1+Inputs!$B$6))*R10</f>
        <v>757.84904697882132</v>
      </c>
      <c r="S9" s="27">
        <f>E9+(1-C9)*(1-D9)*(1/(1+Inputs!$B$6))*S10</f>
        <v>3824.3509421628692</v>
      </c>
      <c r="T9" s="9">
        <f t="shared" si="0"/>
        <v>-7161300.4288526224</v>
      </c>
      <c r="U9" s="9">
        <f t="shared" si="1"/>
        <v>2856663.9671768169</v>
      </c>
      <c r="V9" s="9">
        <f t="shared" si="2"/>
        <v>207326.62772608452</v>
      </c>
      <c r="W9" s="9">
        <f t="shared" si="3"/>
        <v>648695.13483865187</v>
      </c>
      <c r="X9" s="9">
        <f>G9*Inputs!$B$16</f>
        <v>1711937588.1639936</v>
      </c>
      <c r="Y9" s="9">
        <f t="shared" si="4"/>
        <v>19086998.863855843</v>
      </c>
      <c r="Z9" s="9">
        <f t="shared" si="5"/>
        <v>7161300.4288526289</v>
      </c>
      <c r="AA9" s="9">
        <f t="shared" si="6"/>
        <v>6486951.3483865215</v>
      </c>
      <c r="AB9" s="14">
        <f t="shared" si="7"/>
        <v>0</v>
      </c>
    </row>
    <row r="10" spans="1:28" x14ac:dyDescent="0.3">
      <c r="A10" s="6">
        <v>4</v>
      </c>
      <c r="B10" s="6">
        <f>Inputs!$B$14+A10</f>
        <v>44</v>
      </c>
      <c r="C10" s="26">
        <f>MIN(Inputs!$B$21*(1-EXP(-(Inputs!$B$8+Inputs!$B$9*Inputs!$B$10^B10))),1)</f>
        <v>6.8223492784569295E-4</v>
      </c>
      <c r="D10" s="26">
        <f>Inputs!$B$20</f>
        <v>0.05</v>
      </c>
      <c r="E10" s="27">
        <f>Inputs!$B$17</f>
        <v>400</v>
      </c>
      <c r="F10" s="27">
        <f>Inputs!$B$18*(1+Inputs!$B$19)^A10</f>
        <v>67.530528599999997</v>
      </c>
      <c r="G10" s="9">
        <f t="shared" si="8"/>
        <v>8126.570415186743</v>
      </c>
      <c r="H10" s="27">
        <f>F10-E10+C10*Inputs!$B$16*(1/(1+Inputs!$B$6))+(1-C10)*(1-D10)*(1/(1+Inputs!$B$6))*H11</f>
        <v>-677.80707370676771</v>
      </c>
      <c r="I10" s="26">
        <f>MIN(C10*(1+Inputs!$B$31),1)</f>
        <v>7.8457016702254679E-4</v>
      </c>
      <c r="J10" s="27">
        <f>F10-E10+I10*Inputs!$B$16*(1/(1+Inputs!$B$6))+(1-I10)*(1-D10)*(1/(1+Inputs!$B$6))*J11</f>
        <v>-335.71853530121501</v>
      </c>
      <c r="K10" s="26">
        <f>MIN(D10*(1+Inputs!$B$33),1)</f>
        <v>7.5000000000000011E-2</v>
      </c>
      <c r="L10" s="27">
        <f>F10-E10+C10*Inputs!$B$16*(1/(1+Inputs!$B$6))+(1-C10)*(1-K10)*(1/(1+Inputs!$B$6))*L11</f>
        <v>-695.61615760275629</v>
      </c>
      <c r="M10" s="26">
        <f>MAX(D10*(1+Inputs!$B$34),D10-Inputs!$B$35)</f>
        <v>2.5000000000000001E-2</v>
      </c>
      <c r="N10" s="27">
        <f>F10-E10+C10*Inputs!$B$16*(1/(1+Inputs!$B$6))+(1-C10)*(1-M10)*(1/(1+Inputs!$B$6))*N11</f>
        <v>-634.82363055295536</v>
      </c>
      <c r="O10" s="27">
        <f>F10*(1+Inputs!$B$36)</f>
        <v>74.283581460000008</v>
      </c>
      <c r="P10" s="27">
        <f>O10-E10+C10*Inputs!$B$16*(1/(1+Inputs!$B$6))+(1-C10)*(1-D10)*(1/(1+Inputs!$B$6))*P11</f>
        <v>-602.70134858885831</v>
      </c>
      <c r="Q10" s="27">
        <f>C10*Inputs!$B$16*(1/(1+Inputs!$B$6))+(1-C10)*(1-D10)*(1/(1+Inputs!$B$6))*Q11</f>
        <v>2286.1981413533176</v>
      </c>
      <c r="R10" s="27">
        <f>F10+(1-C10)*(1-D10)*(1/(1+Inputs!$B$6))*R11</f>
        <v>751.05725117909344</v>
      </c>
      <c r="S10" s="27">
        <f>E10+(1-C10)*(1-D10)*(1/(1+Inputs!$B$6))*S11</f>
        <v>3715.0624662391792</v>
      </c>
      <c r="T10" s="9">
        <f t="shared" si="0"/>
        <v>-5508246.9123897189</v>
      </c>
      <c r="U10" s="9">
        <f t="shared" si="1"/>
        <v>2780006.5955810384</v>
      </c>
      <c r="V10" s="9">
        <f t="shared" si="2"/>
        <v>349307.97747663257</v>
      </c>
      <c r="W10" s="9">
        <f t="shared" si="3"/>
        <v>610351.96375435044</v>
      </c>
      <c r="X10" s="9">
        <f>G10*Inputs!$B$16</f>
        <v>1625314083.0373485</v>
      </c>
      <c r="Y10" s="9">
        <f t="shared" si="4"/>
        <v>18578950.178776789</v>
      </c>
      <c r="Z10" s="9">
        <f t="shared" si="5"/>
        <v>5508246.9123897227</v>
      </c>
      <c r="AA10" s="9">
        <f t="shared" si="6"/>
        <v>6103519.6375434995</v>
      </c>
      <c r="AB10" s="14">
        <f t="shared" si="7"/>
        <v>0</v>
      </c>
    </row>
    <row r="11" spans="1:28" x14ac:dyDescent="0.3">
      <c r="A11" s="6">
        <v>5</v>
      </c>
      <c r="B11" s="6">
        <f>Inputs!$B$14+A11</f>
        <v>45</v>
      </c>
      <c r="C11" s="26">
        <f>MIN(Inputs!$B$21*(1-EXP(-(Inputs!$B$8+Inputs!$B$9*Inputs!$B$10^B11))),1)</f>
        <v>7.395401630150289E-4</v>
      </c>
      <c r="D11" s="26">
        <f>Inputs!$B$20</f>
        <v>0.05</v>
      </c>
      <c r="E11" s="27">
        <f>Inputs!$B$17</f>
        <v>400</v>
      </c>
      <c r="F11" s="27">
        <f>Inputs!$B$18*(1+Inputs!$B$19)^A11</f>
        <v>69.556444457999987</v>
      </c>
      <c r="G11" s="9">
        <f t="shared" si="8"/>
        <v>7714.9748757556099</v>
      </c>
      <c r="H11" s="27">
        <f>F11-E11+C11*Inputs!$B$16*(1/(1+Inputs!$B$6))+(1-C11)*(1-D11)*(1/(1+Inputs!$B$6))*H12</f>
        <v>-518.40074050769999</v>
      </c>
      <c r="I11" s="26">
        <f>MIN(C11*(1+Inputs!$B$31),1)</f>
        <v>8.5047118746728312E-4</v>
      </c>
      <c r="J11" s="27">
        <f>F11-E11+I11*Inputs!$B$16*(1/(1+Inputs!$B$6))+(1-I11)*(1-D11)*(1/(1+Inputs!$B$6))*J12</f>
        <v>-168.82779327392575</v>
      </c>
      <c r="K11" s="26">
        <f>MIN(D11*(1+Inputs!$B$33),1)</f>
        <v>7.5000000000000011E-2</v>
      </c>
      <c r="L11" s="27">
        <f>F11-E11+C11*Inputs!$B$16*(1/(1+Inputs!$B$6))+(1-C11)*(1-K11)*(1/(1+Inputs!$B$6))*L12</f>
        <v>-552.25576531596221</v>
      </c>
      <c r="M11" s="26">
        <f>MAX(D11*(1+Inputs!$B$34),D11-Inputs!$B$35)</f>
        <v>2.5000000000000001E-2</v>
      </c>
      <c r="N11" s="27">
        <f>F11-E11+C11*Inputs!$B$16*(1/(1+Inputs!$B$6))+(1-C11)*(1-M11)*(1/(1+Inputs!$B$6))*N12</f>
        <v>-459.6692634490206</v>
      </c>
      <c r="O11" s="27">
        <f>F11*(1+Inputs!$B$36)</f>
        <v>76.512088903799992</v>
      </c>
      <c r="P11" s="27">
        <f>O11-E11+C11*Inputs!$B$16*(1/(1+Inputs!$B$6))+(1-C11)*(1-D11)*(1/(1+Inputs!$B$6))*P12</f>
        <v>-444.24145969226515</v>
      </c>
      <c r="Q11" s="27">
        <f>C11*Inputs!$B$16*(1/(1+Inputs!$B$6))+(1-C11)*(1-D11)*(1/(1+Inputs!$B$6))*Q12</f>
        <v>2336.6858529408883</v>
      </c>
      <c r="R11" s="27">
        <f>F11+(1-C11)*(1-D11)*(1/(1+Inputs!$B$6))*R12</f>
        <v>741.59280815434749</v>
      </c>
      <c r="S11" s="27">
        <f>E11+(1-C11)*(1-D11)*(1/(1+Inputs!$B$6))*S12</f>
        <v>3596.6794016029362</v>
      </c>
      <c r="T11" s="9">
        <f t="shared" si="0"/>
        <v>-3999448.6885900088</v>
      </c>
      <c r="U11" s="9">
        <f t="shared" si="1"/>
        <v>2696946.5051524099</v>
      </c>
      <c r="V11" s="9">
        <f t="shared" si="2"/>
        <v>453111.86992372846</v>
      </c>
      <c r="W11" s="9">
        <f t="shared" si="3"/>
        <v>572136.9882951848</v>
      </c>
      <c r="X11" s="9">
        <f>G11*Inputs!$B$16</f>
        <v>1542994975.1511221</v>
      </c>
      <c r="Y11" s="9">
        <f t="shared" si="4"/>
        <v>18027472.64797252</v>
      </c>
      <c r="Z11" s="9">
        <f t="shared" si="5"/>
        <v>3999448.6885900125</v>
      </c>
      <c r="AA11" s="9">
        <f t="shared" si="6"/>
        <v>5721369.8829518408</v>
      </c>
      <c r="AB11" s="14">
        <f t="shared" si="7"/>
        <v>0</v>
      </c>
    </row>
    <row r="12" spans="1:28" x14ac:dyDescent="0.3">
      <c r="A12" s="6">
        <v>6</v>
      </c>
      <c r="B12" s="6">
        <f>Inputs!$B$14+A12</f>
        <v>46</v>
      </c>
      <c r="C12" s="26">
        <f>MIN(Inputs!$B$21*(1-EXP(-(Inputs!$B$8+Inputs!$B$9*Inputs!$B$10^B12))),1)</f>
        <v>8.0394732473854091E-4</v>
      </c>
      <c r="D12" s="26">
        <f>Inputs!$B$20</f>
        <v>0.05</v>
      </c>
      <c r="E12" s="27">
        <f>Inputs!$B$17</f>
        <v>400</v>
      </c>
      <c r="F12" s="27">
        <f>Inputs!$B$18*(1+Inputs!$B$19)^A12</f>
        <v>71.643137791739989</v>
      </c>
      <c r="G12" s="9">
        <f t="shared" si="8"/>
        <v>7323.8058748794192</v>
      </c>
      <c r="H12" s="27">
        <f>F12-E12+C12*Inputs!$B$16*(1/(1+Inputs!$B$6))+(1-C12)*(1-D12)*(1/(1+Inputs!$B$6))*H13</f>
        <v>-359.74386937419729</v>
      </c>
      <c r="I12" s="26">
        <f>MIN(C12*(1+Inputs!$B$31),1)</f>
        <v>9.2453942344932199E-4</v>
      </c>
      <c r="J12" s="27">
        <f>F12-E12+I12*Inputs!$B$16*(1/(1+Inputs!$B$6))+(1-I12)*(1-D12)*(1/(1+Inputs!$B$6))*J13</f>
        <v>-3.8243075763953698</v>
      </c>
      <c r="K12" s="26">
        <f>MIN(D12*(1+Inputs!$B$33),1)</f>
        <v>7.5000000000000011E-2</v>
      </c>
      <c r="L12" s="27">
        <f>F12-E12+C12*Inputs!$B$16*(1/(1+Inputs!$B$6))+(1-C12)*(1-K12)*(1/(1+Inputs!$B$6))*L13</f>
        <v>-407.192604117462</v>
      </c>
      <c r="M12" s="26">
        <f>MAX(D12*(1+Inputs!$B$34),D12-Inputs!$B$35)</f>
        <v>2.5000000000000001E-2</v>
      </c>
      <c r="N12" s="27">
        <f>F12-E12+C12*Inputs!$B$16*(1/(1+Inputs!$B$6))+(1-C12)*(1-M12)*(1/(1+Inputs!$B$6))*N13</f>
        <v>-288.42921447263507</v>
      </c>
      <c r="O12" s="27">
        <f>F12*(1+Inputs!$B$36)</f>
        <v>78.807451570913997</v>
      </c>
      <c r="P12" s="27">
        <f>O12-E12+C12*Inputs!$B$16*(1/(1+Inputs!$B$6))+(1-C12)*(1-D12)*(1/(1+Inputs!$B$6))*P13</f>
        <v>-286.8270545023837</v>
      </c>
      <c r="Q12" s="27">
        <f>C12*Inputs!$B$16*(1/(1+Inputs!$B$6))+(1-C12)*(1-D12)*(1/(1+Inputs!$B$6))*Q13</f>
        <v>2379.5264879606043</v>
      </c>
      <c r="R12" s="27">
        <f>F12+(1-C12)*(1-D12)*(1/(1+Inputs!$B$6))*R13</f>
        <v>729.16814871813472</v>
      </c>
      <c r="S12" s="27">
        <f>E12+(1-C12)*(1-D12)*(1/(1+Inputs!$B$6))*S13</f>
        <v>3468.4385060529366</v>
      </c>
      <c r="T12" s="9">
        <f t="shared" si="0"/>
        <v>-2634694.2639746005</v>
      </c>
      <c r="U12" s="9">
        <f t="shared" si="1"/>
        <v>2606685.7776792501</v>
      </c>
      <c r="V12" s="9">
        <f t="shared" si="2"/>
        <v>522294.68853305979</v>
      </c>
      <c r="W12" s="9">
        <f t="shared" si="3"/>
        <v>534028.59713568329</v>
      </c>
      <c r="X12" s="9">
        <f>G12*Inputs!$B$16</f>
        <v>1464761174.9758837</v>
      </c>
      <c r="Y12" s="9">
        <f t="shared" si="4"/>
        <v>17427190.071957067</v>
      </c>
      <c r="Z12" s="9">
        <f t="shared" si="5"/>
        <v>2634694.2639746028</v>
      </c>
      <c r="AA12" s="9">
        <f t="shared" si="6"/>
        <v>5340285.971356825</v>
      </c>
      <c r="AB12" s="14">
        <f t="shared" si="7"/>
        <v>5.6843418860808015E-13</v>
      </c>
    </row>
    <row r="13" spans="1:28" x14ac:dyDescent="0.3">
      <c r="A13" s="6">
        <v>7</v>
      </c>
      <c r="B13" s="6">
        <f>Inputs!$B$14+A13</f>
        <v>47</v>
      </c>
      <c r="C13" s="26">
        <f>MIN(Inputs!$B$21*(1-EXP(-(Inputs!$B$8+Inputs!$B$9*Inputs!$B$10^B13))),1)</f>
        <v>8.7633601910908077E-4</v>
      </c>
      <c r="D13" s="26">
        <f>Inputs!$B$20</f>
        <v>0.05</v>
      </c>
      <c r="E13" s="27">
        <f>Inputs!$B$17</f>
        <v>400</v>
      </c>
      <c r="F13" s="27">
        <f>Inputs!$B$18*(1+Inputs!$B$19)^A13</f>
        <v>73.792431925492195</v>
      </c>
      <c r="G13" s="9">
        <f t="shared" si="8"/>
        <v>6952.0220247024345</v>
      </c>
      <c r="H13" s="27">
        <f>F13-E13+C13*Inputs!$B$16*(1/(1+Inputs!$B$6))+(1-C13)*(1-D13)*(1/(1+Inputs!$B$6))*H14</f>
        <v>-203.44575159258926</v>
      </c>
      <c r="I13" s="26">
        <f>MIN(C13*(1+Inputs!$B$31),1)</f>
        <v>1.0077864219754428E-3</v>
      </c>
      <c r="J13" s="27">
        <f>F13-E13+I13*Inputs!$B$16*(1/(1+Inputs!$B$6))+(1-I13)*(1-D13)*(1/(1+Inputs!$B$6))*J14</f>
        <v>157.36722544699631</v>
      </c>
      <c r="K13" s="26">
        <f>MIN(D13*(1+Inputs!$B$33),1)</f>
        <v>7.5000000000000011E-2</v>
      </c>
      <c r="L13" s="27">
        <f>F13-E13+C13*Inputs!$B$16*(1/(1+Inputs!$B$6))+(1-C13)*(1-K13)*(1/(1+Inputs!$B$6))*L14</f>
        <v>-261.82160333343569</v>
      </c>
      <c r="M13" s="26">
        <f>MAX(D13*(1+Inputs!$B$34),D13-Inputs!$B$35)</f>
        <v>2.5000000000000001E-2</v>
      </c>
      <c r="N13" s="27">
        <f>F13-E13+C13*Inputs!$B$16*(1/(1+Inputs!$B$6))+(1-C13)*(1-M13)*(1/(1+Inputs!$B$6))*N14</f>
        <v>-122.83104484889031</v>
      </c>
      <c r="O13" s="27">
        <f>F13*(1+Inputs!$B$36)</f>
        <v>81.171675118041421</v>
      </c>
      <c r="P13" s="27">
        <f>O13-E13+C13*Inputs!$B$16*(1/(1+Inputs!$B$6))+(1-C13)*(1-D13)*(1/(1+Inputs!$B$6))*P14</f>
        <v>-132.0988386165435</v>
      </c>
      <c r="Q13" s="27">
        <f>C13*Inputs!$B$16*(1/(1+Inputs!$B$6))+(1-C13)*(1-D13)*(1/(1+Inputs!$B$6))*Q14</f>
        <v>2412.5951969824114</v>
      </c>
      <c r="R13" s="27">
        <f>F13+(1-C13)*(1-D13)*(1/(1+Inputs!$B$6))*R14</f>
        <v>713.46912976045621</v>
      </c>
      <c r="S13" s="27">
        <f>E13+(1-C13)*(1-D13)*(1/(1+Inputs!$B$6))*S14</f>
        <v>3329.5100783354569</v>
      </c>
      <c r="T13" s="9">
        <f t="shared" si="0"/>
        <v>-1414359.3459038208</v>
      </c>
      <c r="U13" s="9">
        <f t="shared" si="1"/>
        <v>2508379.7631776528</v>
      </c>
      <c r="V13" s="9">
        <f t="shared" si="2"/>
        <v>560435.21679712296</v>
      </c>
      <c r="W13" s="9">
        <f t="shared" si="3"/>
        <v>496005.31040399801</v>
      </c>
      <c r="X13" s="9">
        <f>G13*Inputs!$B$16</f>
        <v>1390404404.9404869</v>
      </c>
      <c r="Y13" s="9">
        <f t="shared" si="4"/>
        <v>16772414.946113031</v>
      </c>
      <c r="Z13" s="9">
        <f t="shared" si="5"/>
        <v>1414359.3459038213</v>
      </c>
      <c r="AA13" s="9">
        <f t="shared" si="6"/>
        <v>4960053.1040399708</v>
      </c>
      <c r="AB13" s="14">
        <f t="shared" si="7"/>
        <v>0</v>
      </c>
    </row>
    <row r="14" spans="1:28" x14ac:dyDescent="0.3">
      <c r="A14" s="6">
        <v>8</v>
      </c>
      <c r="B14" s="6">
        <f>Inputs!$B$14+A14</f>
        <v>48</v>
      </c>
      <c r="C14" s="26">
        <f>MIN(Inputs!$B$21*(1-EXP(-(Inputs!$B$8+Inputs!$B$9*Inputs!$B$10^B14))),1)</f>
        <v>9.5769465149553312E-4</v>
      </c>
      <c r="D14" s="26">
        <f>Inputs!$B$20</f>
        <v>0.05</v>
      </c>
      <c r="E14" s="27">
        <f>Inputs!$B$17</f>
        <v>400</v>
      </c>
      <c r="F14" s="27">
        <f>Inputs!$B$18*(1+Inputs!$B$19)^A14</f>
        <v>76.006204883256956</v>
      </c>
      <c r="G14" s="9">
        <f t="shared" si="8"/>
        <v>6598.63323152672</v>
      </c>
      <c r="H14" s="27">
        <f>F14-E14+C14*Inputs!$B$16*(1/(1+Inputs!$B$6))+(1-C14)*(1-D14)*(1/(1+Inputs!$B$6))*H15</f>
        <v>-51.437216122516233</v>
      </c>
      <c r="I14" s="26">
        <f>MIN(C14*(1+Inputs!$B$31),1)</f>
        <v>1.1013488492198631E-3</v>
      </c>
      <c r="J14" s="27">
        <f>F14-E14+I14*Inputs!$B$16*(1/(1+Inputs!$B$6))+(1-I14)*(1-D14)*(1/(1+Inputs!$B$6))*J15</f>
        <v>312.44619791170658</v>
      </c>
      <c r="K14" s="26">
        <f>MIN(D14*(1+Inputs!$B$33),1)</f>
        <v>7.5000000000000011E-2</v>
      </c>
      <c r="L14" s="27">
        <f>F14-E14+C14*Inputs!$B$16*(1/(1+Inputs!$B$6))+(1-C14)*(1-K14)*(1/(1+Inputs!$B$6))*L15</f>
        <v>-117.88672474903119</v>
      </c>
      <c r="M14" s="26">
        <f>MAX(D14*(1+Inputs!$B$34),D14-Inputs!$B$35)</f>
        <v>2.5000000000000001E-2</v>
      </c>
      <c r="N14" s="27">
        <f>F14-E14+C14*Inputs!$B$16*(1/(1+Inputs!$B$6))+(1-C14)*(1-M14)*(1/(1+Inputs!$B$6))*N15</f>
        <v>35.118586041447088</v>
      </c>
      <c r="O14" s="27">
        <f>F14*(1+Inputs!$B$36)</f>
        <v>83.606825371582659</v>
      </c>
      <c r="P14" s="27">
        <f>O14-E14+C14*Inputs!$B$16*(1/(1+Inputs!$B$6))+(1-C14)*(1-D14)*(1/(1+Inputs!$B$6))*P15</f>
        <v>17.97803588625402</v>
      </c>
      <c r="Q14" s="27">
        <f>C14*Inputs!$B$16*(1/(1+Inputs!$B$6))+(1-C14)*(1-D14)*(1/(1+Inputs!$B$6))*Q15</f>
        <v>2433.4017924502864</v>
      </c>
      <c r="R14" s="27">
        <f>F14+(1-C14)*(1-D14)*(1/(1+Inputs!$B$6))*R15</f>
        <v>694.15252008770074</v>
      </c>
      <c r="S14" s="27">
        <f>E14+(1-C14)*(1-D14)*(1/(1+Inputs!$B$6))*S15</f>
        <v>3178.9915286605033</v>
      </c>
      <c r="T14" s="9">
        <f t="shared" si="0"/>
        <v>-339415.32364325761</v>
      </c>
      <c r="U14" s="9">
        <f t="shared" si="1"/>
        <v>2401133.1882476192</v>
      </c>
      <c r="V14" s="9">
        <f t="shared" si="2"/>
        <v>571149.9925405808</v>
      </c>
      <c r="W14" s="9">
        <f t="shared" si="3"/>
        <v>458045.78867987328</v>
      </c>
      <c r="X14" s="9">
        <f>G14*Inputs!$B$16</f>
        <v>1319726646.3053441</v>
      </c>
      <c r="Y14" s="9">
        <f t="shared" si="4"/>
        <v>16057125.933319146</v>
      </c>
      <c r="Z14" s="9">
        <f t="shared" si="5"/>
        <v>339415.32364325691</v>
      </c>
      <c r="AA14" s="9">
        <f t="shared" si="6"/>
        <v>4580457.8867987208</v>
      </c>
      <c r="AB14" s="14">
        <f t="shared" si="7"/>
        <v>-2.1316282072803006E-13</v>
      </c>
    </row>
    <row r="15" spans="1:28" x14ac:dyDescent="0.3">
      <c r="A15" s="6">
        <v>9</v>
      </c>
      <c r="B15" s="6">
        <f>Inputs!$B$14+A15</f>
        <v>49</v>
      </c>
      <c r="C15" s="26">
        <f>MIN(Inputs!$B$21*(1-EXP(-(Inputs!$B$8+Inputs!$B$9*Inputs!$B$10^B15))),1)</f>
        <v>1.0491338461023902E-3</v>
      </c>
      <c r="D15" s="26">
        <f>Inputs!$B$20</f>
        <v>0.05</v>
      </c>
      <c r="E15" s="27">
        <f>Inputs!$B$17</f>
        <v>400</v>
      </c>
      <c r="F15" s="27">
        <f>Inputs!$B$18*(1+Inputs!$B$19)^A15</f>
        <v>78.286391029754668</v>
      </c>
      <c r="G15" s="9">
        <f t="shared" si="8"/>
        <v>6262.6980679850203</v>
      </c>
      <c r="H15" s="27">
        <f>F15-E15+C15*Inputs!$B$16*(1/(1+Inputs!$B$6))+(1-C15)*(1-D15)*(1/(1+Inputs!$B$6))*H16</f>
        <v>93.978788314445922</v>
      </c>
      <c r="I15" s="26">
        <f>MIN(C15*(1+Inputs!$B$31),1)</f>
        <v>1.2065039230177487E-3</v>
      </c>
      <c r="J15" s="27">
        <f>F15-E15+I15*Inputs!$B$16*(1/(1+Inputs!$B$6))+(1-I15)*(1-D15)*(1/(1+Inputs!$B$6))*J16</f>
        <v>458.67718777748064</v>
      </c>
      <c r="K15" s="26">
        <f>MIN(D15*(1+Inputs!$B$33),1)</f>
        <v>7.5000000000000011E-2</v>
      </c>
      <c r="L15" s="27">
        <f>F15-E15+C15*Inputs!$B$16*(1/(1+Inputs!$B$6))+(1-C15)*(1-K15)*(1/(1+Inputs!$B$6))*L16</f>
        <v>22.455399664411573</v>
      </c>
      <c r="M15" s="26">
        <f>MAX(D15*(1+Inputs!$B$34),D15-Inputs!$B$35)</f>
        <v>2.5000000000000001E-2</v>
      </c>
      <c r="N15" s="27">
        <f>F15-E15+C15*Inputs!$B$16*(1/(1+Inputs!$B$6))+(1-C15)*(1-M15)*(1/(1+Inputs!$B$6))*N16</f>
        <v>183.09516699941074</v>
      </c>
      <c r="O15" s="27">
        <f>F15*(1+Inputs!$B$36)</f>
        <v>86.115030132730141</v>
      </c>
      <c r="P15" s="27">
        <f>O15-E15+C15*Inputs!$B$16*(1/(1+Inputs!$B$6))+(1-C15)*(1-D15)*(1/(1+Inputs!$B$6))*P16</f>
        <v>161.06310878415675</v>
      </c>
      <c r="Q15" s="27">
        <f>C15*Inputs!$B$16*(1/(1+Inputs!$B$6))+(1-C15)*(1-D15)*(1/(1+Inputs!$B$6))*Q16</f>
        <v>2439.0357630047079</v>
      </c>
      <c r="R15" s="27">
        <f>F15+(1-C15)*(1-D15)*(1/(1+Inputs!$B$6))*R16</f>
        <v>670.84320469710644</v>
      </c>
      <c r="S15" s="27">
        <f>E15+(1-C15)*(1-D15)*(1/(1+Inputs!$B$6))*S16</f>
        <v>3015.9001793873681</v>
      </c>
      <c r="T15" s="9">
        <f t="shared" si="0"/>
        <v>588560.77600845369</v>
      </c>
      <c r="U15" s="9">
        <f t="shared" si="1"/>
        <v>2283995.9617143767</v>
      </c>
      <c r="V15" s="9">
        <f t="shared" si="2"/>
        <v>558108.97261615063</v>
      </c>
      <c r="W15" s="9">
        <f t="shared" si="3"/>
        <v>420128.84419774596</v>
      </c>
      <c r="X15" s="9">
        <f>G15*Inputs!$B$16</f>
        <v>1252539613.5970042</v>
      </c>
      <c r="Y15" s="9">
        <f t="shared" si="4"/>
        <v>15274944.560715953</v>
      </c>
      <c r="Z15" s="9">
        <f t="shared" si="5"/>
        <v>0</v>
      </c>
      <c r="AA15" s="9">
        <f t="shared" si="6"/>
        <v>4201288.4419774478</v>
      </c>
      <c r="AB15" s="14">
        <f t="shared" si="7"/>
        <v>-3.979039320256561E-13</v>
      </c>
    </row>
    <row r="16" spans="1:28" x14ac:dyDescent="0.3">
      <c r="A16" s="6">
        <v>10</v>
      </c>
      <c r="B16" s="6">
        <f>Inputs!$B$14+A16</f>
        <v>50</v>
      </c>
      <c r="C16" s="26">
        <f>MIN(Inputs!$B$21*(1-EXP(-(Inputs!$B$8+Inputs!$B$9*Inputs!$B$10^B16))),1)</f>
        <v>1.151901510734632E-3</v>
      </c>
      <c r="D16" s="26">
        <f>Inputs!$B$20</f>
        <v>0.05</v>
      </c>
      <c r="E16" s="27">
        <f>Inputs!$B$17</f>
        <v>400</v>
      </c>
      <c r="F16" s="27">
        <f>Inputs!$B$18*(1+Inputs!$B$19)^A16</f>
        <v>80.634982760647304</v>
      </c>
      <c r="G16" s="9">
        <f t="shared" si="8"/>
        <v>5943.3212765002781</v>
      </c>
      <c r="H16" s="27">
        <f>F16-E16+C16*Inputs!$B$16*(1/(1+Inputs!$B$6))+(1-C16)*(1-D16)*(1/(1+Inputs!$B$6))*H17</f>
        <v>230.06916280116963</v>
      </c>
      <c r="I16" s="26">
        <f>MIN(C16*(1+Inputs!$B$31),1)</f>
        <v>1.3246867373448267E-3</v>
      </c>
      <c r="J16" s="27">
        <f>F16-E16+I16*Inputs!$B$16*(1/(1+Inputs!$B$6))+(1-I16)*(1-D16)*(1/(1+Inputs!$B$6))*J17</f>
        <v>592.82233304584929</v>
      </c>
      <c r="K16" s="26">
        <f>MIN(D16*(1+Inputs!$B$33),1)</f>
        <v>7.5000000000000011E-2</v>
      </c>
      <c r="L16" s="27">
        <f>F16-E16+C16*Inputs!$B$16*(1/(1+Inputs!$B$6))+(1-C16)*(1-K16)*(1/(1+Inputs!$B$6))*L17</f>
        <v>156.56134534500745</v>
      </c>
      <c r="M16" s="26">
        <f>MAX(D16*(1+Inputs!$B$34),D16-Inputs!$B$35)</f>
        <v>2.5000000000000001E-2</v>
      </c>
      <c r="N16" s="27">
        <f>F16-E16+C16*Inputs!$B$16*(1/(1+Inputs!$B$6))+(1-C16)*(1-M16)*(1/(1+Inputs!$B$6))*N17</f>
        <v>318.41228277288997</v>
      </c>
      <c r="O16" s="27">
        <f>F16*(1+Inputs!$B$36)</f>
        <v>88.698481036712039</v>
      </c>
      <c r="P16" s="27">
        <f>O16-E16+C16*Inputs!$B$16*(1/(1+Inputs!$B$6))+(1-C16)*(1-D16)*(1/(1+Inputs!$B$6))*P17</f>
        <v>294.38226933981622</v>
      </c>
      <c r="Q16" s="27">
        <f>C16*Inputs!$B$16*(1/(1+Inputs!$B$6))+(1-C16)*(1-D16)*(1/(1+Inputs!$B$6))*Q17</f>
        <v>2426.1032719771615</v>
      </c>
      <c r="R16" s="27">
        <f>F16+(1-C16)*(1-D16)*(1/(1+Inputs!$B$6))*R17</f>
        <v>643.13106538646355</v>
      </c>
      <c r="S16" s="27">
        <f>E16+(1-C16)*(1-D16)*(1/(1+Inputs!$B$6))*S17</f>
        <v>2839.1651745624554</v>
      </c>
      <c r="T16" s="9">
        <f t="shared" si="0"/>
        <v>1367374.9503427977</v>
      </c>
      <c r="U16" s="9">
        <f t="shared" si="1"/>
        <v>2155958.6348331324</v>
      </c>
      <c r="V16" s="9">
        <f t="shared" si="2"/>
        <v>525051.54456034221</v>
      </c>
      <c r="W16" s="9">
        <f t="shared" si="3"/>
        <v>382233.45444896747</v>
      </c>
      <c r="X16" s="9">
        <f>G16*Inputs!$B$16</f>
        <v>1188664255.3000557</v>
      </c>
      <c r="Y16" s="9">
        <f t="shared" si="4"/>
        <v>14419111.195328806</v>
      </c>
      <c r="Z16" s="9">
        <f t="shared" si="5"/>
        <v>0</v>
      </c>
      <c r="AA16" s="9">
        <f t="shared" si="6"/>
        <v>3822334.5444896603</v>
      </c>
      <c r="AB16" s="14">
        <f t="shared" si="7"/>
        <v>0</v>
      </c>
    </row>
    <row r="17" spans="1:28" x14ac:dyDescent="0.3">
      <c r="A17" s="6">
        <v>11</v>
      </c>
      <c r="B17" s="6">
        <f>Inputs!$B$14+A17</f>
        <v>51</v>
      </c>
      <c r="C17" s="26">
        <f>MIN(Inputs!$B$21*(1-EXP(-(Inputs!$B$8+Inputs!$B$9*Inputs!$B$10^B17))),1)</f>
        <v>1.2673997458256814E-3</v>
      </c>
      <c r="D17" s="26">
        <f>Inputs!$B$20</f>
        <v>0.05</v>
      </c>
      <c r="E17" s="27">
        <f>Inputs!$B$17</f>
        <v>400</v>
      </c>
      <c r="F17" s="27">
        <f>Inputs!$B$18*(1+Inputs!$B$19)^A17</f>
        <v>83.054032243466736</v>
      </c>
      <c r="G17" s="9">
        <f t="shared" si="8"/>
        <v>5639.6513979559413</v>
      </c>
      <c r="H17" s="27">
        <f>F17-E17+C17*Inputs!$B$16*(1/(1+Inputs!$B$6))+(1-C17)*(1-D17)*(1/(1+Inputs!$B$6))*H18</f>
        <v>353.60405735820086</v>
      </c>
      <c r="I17" s="26">
        <f>MIN(C17*(1+Inputs!$B$31),1)</f>
        <v>1.4575097076995334E-3</v>
      </c>
      <c r="J17" s="27">
        <f>F17-E17+I17*Inputs!$B$16*(1/(1+Inputs!$B$6))+(1-I17)*(1-D17)*(1/(1+Inputs!$B$6))*J18</f>
        <v>711.06364534333397</v>
      </c>
      <c r="K17" s="26">
        <f>MIN(D17*(1+Inputs!$B$33),1)</f>
        <v>7.5000000000000011E-2</v>
      </c>
      <c r="L17" s="27">
        <f>F17-E17+C17*Inputs!$B$16*(1/(1+Inputs!$B$6))+(1-C17)*(1-K17)*(1/(1+Inputs!$B$6))*L18</f>
        <v>281.21458157158486</v>
      </c>
      <c r="M17" s="26">
        <f>MAX(D17*(1+Inputs!$B$34),D17-Inputs!$B$35)</f>
        <v>2.5000000000000001E-2</v>
      </c>
      <c r="N17" s="27">
        <f>F17-E17+C17*Inputs!$B$16*(1/(1+Inputs!$B$6))+(1-C17)*(1-M17)*(1/(1+Inputs!$B$6))*N18</f>
        <v>437.97149168003625</v>
      </c>
      <c r="O17" s="27">
        <f>F17*(1+Inputs!$B$36)</f>
        <v>91.359435467813412</v>
      </c>
      <c r="P17" s="27">
        <f>O17-E17+C17*Inputs!$B$16*(1/(1+Inputs!$B$6))+(1-C17)*(1-D17)*(1/(1+Inputs!$B$6))*P18</f>
        <v>414.66080609874643</v>
      </c>
      <c r="Q17" s="27">
        <f>C17*Inputs!$B$16*(1/(1+Inputs!$B$6))+(1-C17)*(1-D17)*(1/(1+Inputs!$B$6))*Q18</f>
        <v>2390.6549232172256</v>
      </c>
      <c r="R17" s="27">
        <f>F17+(1-C17)*(1-D17)*(1/(1+Inputs!$B$6))*R18</f>
        <v>610.5674874054539</v>
      </c>
      <c r="S17" s="27">
        <f>E17+(1-C17)*(1-D17)*(1/(1+Inputs!$B$6))*S18</f>
        <v>2647.6183532644786</v>
      </c>
      <c r="T17" s="9">
        <f t="shared" si="0"/>
        <v>1994203.6164030703</v>
      </c>
      <c r="U17" s="9">
        <f t="shared" si="1"/>
        <v>2015947.4650931107</v>
      </c>
      <c r="V17" s="9">
        <f t="shared" si="2"/>
        <v>475802.91891509504</v>
      </c>
      <c r="W17" s="9">
        <f t="shared" si="3"/>
        <v>344338.7783892625</v>
      </c>
      <c r="X17" s="9">
        <f>G17*Inputs!$B$16</f>
        <v>1127930279.5911882</v>
      </c>
      <c r="Y17" s="9">
        <f t="shared" si="4"/>
        <v>13482460.37975228</v>
      </c>
      <c r="Z17" s="9">
        <f t="shared" si="5"/>
        <v>0</v>
      </c>
      <c r="AA17" s="9">
        <f t="shared" si="6"/>
        <v>3443387.7838926148</v>
      </c>
      <c r="AB17" s="14">
        <f t="shared" si="7"/>
        <v>0</v>
      </c>
    </row>
    <row r="18" spans="1:28" x14ac:dyDescent="0.3">
      <c r="A18" s="6">
        <v>12</v>
      </c>
      <c r="B18" s="6">
        <f>Inputs!$B$14+A18</f>
        <v>52</v>
      </c>
      <c r="C18" s="26">
        <f>MIN(Inputs!$B$21*(1-EXP(-(Inputs!$B$8+Inputs!$B$9*Inputs!$B$10^B18))),1)</f>
        <v>1.3972038201708337E-3</v>
      </c>
      <c r="D18" s="26">
        <f>Inputs!$B$20</f>
        <v>0.05</v>
      </c>
      <c r="E18" s="27">
        <f>Inputs!$B$17</f>
        <v>400</v>
      </c>
      <c r="F18" s="27">
        <f>Inputs!$B$18*(1+Inputs!$B$19)^A18</f>
        <v>85.545653210770723</v>
      </c>
      <c r="G18" s="9">
        <f t="shared" si="8"/>
        <v>5350.878519947245</v>
      </c>
      <c r="H18" s="27">
        <f>F18-E18+C18*Inputs!$B$16*(1/(1+Inputs!$B$6))+(1-C18)*(1-D18)*(1/(1+Inputs!$B$6))*H19</f>
        <v>460.78038947802156</v>
      </c>
      <c r="I18" s="26">
        <f>MIN(C18*(1+Inputs!$B$31),1)</f>
        <v>1.6067843931964587E-3</v>
      </c>
      <c r="J18" s="27">
        <f>F18-E18+I18*Inputs!$B$16*(1/(1+Inputs!$B$6))+(1-I18)*(1-D18)*(1/(1+Inputs!$B$6))*J19</f>
        <v>808.91369424938227</v>
      </c>
      <c r="K18" s="26">
        <f>MIN(D18*(1+Inputs!$B$33),1)</f>
        <v>7.5000000000000011E-2</v>
      </c>
      <c r="L18" s="27">
        <f>F18-E18+C18*Inputs!$B$16*(1/(1+Inputs!$B$6))+(1-C18)*(1-K18)*(1/(1+Inputs!$B$6))*L19</f>
        <v>392.52496349066138</v>
      </c>
      <c r="M18" s="26">
        <f>MAX(D18*(1+Inputs!$B$34),D18-Inputs!$B$35)</f>
        <v>2.5000000000000001E-2</v>
      </c>
      <c r="N18" s="27">
        <f>F18-E18+C18*Inputs!$B$16*(1/(1+Inputs!$B$6))+(1-C18)*(1-M18)*(1/(1+Inputs!$B$6))*N19</f>
        <v>538.2052330263399</v>
      </c>
      <c r="O18" s="27">
        <f>F18*(1+Inputs!$B$36)</f>
        <v>94.100218531847801</v>
      </c>
      <c r="P18" s="27">
        <f>O18-E18+C18*Inputs!$B$16*(1/(1+Inputs!$B$6))+(1-C18)*(1-D18)*(1/(1+Inputs!$B$6))*P19</f>
        <v>518.04653265931802</v>
      </c>
      <c r="Q18" s="27">
        <f>C18*Inputs!$B$16*(1/(1+Inputs!$B$6))+(1-C18)*(1-D18)*(1/(1+Inputs!$B$6))*Q19</f>
        <v>2328.1028704057935</v>
      </c>
      <c r="R18" s="27">
        <f>F18+(1-C18)*(1-D18)*(1/(1+Inputs!$B$6))*R19</f>
        <v>572.66143181296263</v>
      </c>
      <c r="S18" s="27">
        <f>E18+(1-C18)*(1-D18)*(1/(1+Inputs!$B$6))*S19</f>
        <v>2439.9839127407349</v>
      </c>
      <c r="T18" s="9">
        <f t="shared" si="0"/>
        <v>2465579.8884708709</v>
      </c>
      <c r="U18" s="9">
        <f t="shared" si="1"/>
        <v>1862819.0225793219</v>
      </c>
      <c r="V18" s="9">
        <f t="shared" si="2"/>
        <v>414290.93225297262</v>
      </c>
      <c r="W18" s="9">
        <f t="shared" si="3"/>
        <v>306424.17546902259</v>
      </c>
      <c r="X18" s="9">
        <f>G18*Inputs!$B$16</f>
        <v>1070175703.989449</v>
      </c>
      <c r="Y18" s="9">
        <f t="shared" si="4"/>
        <v>12457395.641481886</v>
      </c>
      <c r="Z18" s="9">
        <f t="shared" si="5"/>
        <v>0</v>
      </c>
      <c r="AA18" s="9">
        <f t="shared" si="6"/>
        <v>3064241.7546902155</v>
      </c>
      <c r="AB18" s="14">
        <f t="shared" si="7"/>
        <v>0</v>
      </c>
    </row>
    <row r="19" spans="1:28" x14ac:dyDescent="0.3">
      <c r="A19" s="6">
        <v>13</v>
      </c>
      <c r="B19" s="6">
        <f>Inputs!$B$14+A19</f>
        <v>53</v>
      </c>
      <c r="C19" s="26">
        <f>MIN(Inputs!$B$21*(1-EXP(-(Inputs!$B$8+Inputs!$B$9*Inputs!$B$10^B19))),1)</f>
        <v>1.5430834617542466E-3</v>
      </c>
      <c r="D19" s="26">
        <f>Inputs!$B$20</f>
        <v>0.05</v>
      </c>
      <c r="E19" s="27">
        <f>Inputs!$B$17</f>
        <v>400</v>
      </c>
      <c r="F19" s="27">
        <f>Inputs!$B$18*(1+Inputs!$B$19)^A19</f>
        <v>88.112022807093837</v>
      </c>
      <c r="G19" s="9">
        <f t="shared" si="8"/>
        <v>5076.2321394360097</v>
      </c>
      <c r="H19" s="27">
        <f>F19-E19+C19*Inputs!$B$16*(1/(1+Inputs!$B$6))+(1-C19)*(1-D19)*(1/(1+Inputs!$B$6))*H20</f>
        <v>547.13394639910837</v>
      </c>
      <c r="I19" s="26">
        <f>MIN(C19*(1+Inputs!$B$31),1)</f>
        <v>1.7745459810173834E-3</v>
      </c>
      <c r="J19" s="27">
        <f>F19-E19+I19*Inputs!$B$16*(1/(1+Inputs!$B$6))+(1-I19)*(1-D19)*(1/(1+Inputs!$B$6))*J20</f>
        <v>881.11281477255693</v>
      </c>
      <c r="K19" s="26">
        <f>MIN(D19*(1+Inputs!$B$33),1)</f>
        <v>7.5000000000000011E-2</v>
      </c>
      <c r="L19" s="27">
        <f>F19-E19+C19*Inputs!$B$16*(1/(1+Inputs!$B$6))+(1-C19)*(1-K19)*(1/(1+Inputs!$B$6))*L20</f>
        <v>485.81167041272545</v>
      </c>
      <c r="M19" s="26">
        <f>MAX(D19*(1+Inputs!$B$34),D19-Inputs!$B$35)</f>
        <v>2.5000000000000001E-2</v>
      </c>
      <c r="N19" s="27">
        <f>F19-E19+C19*Inputs!$B$16*(1/(1+Inputs!$B$6))+(1-C19)*(1-M19)*(1/(1+Inputs!$B$6))*N20</f>
        <v>615.01171022468804</v>
      </c>
      <c r="O19" s="27">
        <f>F19*(1+Inputs!$B$36)</f>
        <v>96.923225087803232</v>
      </c>
      <c r="P19" s="27">
        <f>O19-E19+C19*Inputs!$B$16*(1/(1+Inputs!$B$6))+(1-C19)*(1-D19)*(1/(1+Inputs!$B$6))*P20</f>
        <v>600.02144648576973</v>
      </c>
      <c r="Q19" s="27">
        <f>C19*Inputs!$B$16*(1/(1+Inputs!$B$6))+(1-C19)*(1-D19)*(1/(1+Inputs!$B$6))*Q20</f>
        <v>2233.1255973880138</v>
      </c>
      <c r="R19" s="27">
        <f>F19+(1-C19)*(1-D19)*(1/(1+Inputs!$B$6))*R20</f>
        <v>528.8750008666118</v>
      </c>
      <c r="S19" s="27">
        <f>E19+(1-C19)*(1-D19)*(1/(1+Inputs!$B$6))*S20</f>
        <v>2214.8666518555174</v>
      </c>
      <c r="T19" s="9">
        <f t="shared" si="0"/>
        <v>2777378.9232876129</v>
      </c>
      <c r="U19" s="9">
        <f t="shared" si="1"/>
        <v>1695354.2655297683</v>
      </c>
      <c r="V19" s="9">
        <f t="shared" si="2"/>
        <v>344563.28628445452</v>
      </c>
      <c r="W19" s="9">
        <f t="shared" si="3"/>
        <v>268469.22771433514</v>
      </c>
      <c r="X19" s="9">
        <f>G19*Inputs!$B$16</f>
        <v>1015246427.8872019</v>
      </c>
      <c r="Y19" s="9">
        <f t="shared" si="4"/>
        <v>11335863.928858275</v>
      </c>
      <c r="Z19" s="9">
        <f t="shared" si="5"/>
        <v>0</v>
      </c>
      <c r="AA19" s="9">
        <f t="shared" si="6"/>
        <v>2684692.2771433424</v>
      </c>
      <c r="AB19" s="14">
        <f t="shared" si="7"/>
        <v>0</v>
      </c>
    </row>
    <row r="20" spans="1:28" x14ac:dyDescent="0.3">
      <c r="A20" s="6">
        <v>14</v>
      </c>
      <c r="B20" s="6">
        <f>Inputs!$B$14+A20</f>
        <v>54</v>
      </c>
      <c r="C20" s="26">
        <f>MIN(Inputs!$B$21*(1-EXP(-(Inputs!$B$8+Inputs!$B$9*Inputs!$B$10^B20))),1)</f>
        <v>1.707026740786266E-3</v>
      </c>
      <c r="D20" s="26">
        <f>Inputs!$B$20</f>
        <v>0.05</v>
      </c>
      <c r="E20" s="27">
        <f>Inputs!$B$17</f>
        <v>400</v>
      </c>
      <c r="F20" s="27">
        <f>Inputs!$B$18*(1+Inputs!$B$19)^A20</f>
        <v>90.755383491306659</v>
      </c>
      <c r="G20" s="9">
        <f t="shared" si="8"/>
        <v>4814.979135094939</v>
      </c>
      <c r="H20" s="27">
        <f>F20-E20+C20*Inputs!$B$16*(1/(1+Inputs!$B$6))+(1-C20)*(1-D20)*(1/(1+Inputs!$B$6))*H21</f>
        <v>607.43826367442398</v>
      </c>
      <c r="I20" s="26">
        <f>MIN(C20*(1+Inputs!$B$31),1)</f>
        <v>1.9630807519042059E-3</v>
      </c>
      <c r="J20" s="27">
        <f>F20-E20+I20*Inputs!$B$16*(1/(1+Inputs!$B$6))+(1-I20)*(1-D20)*(1/(1+Inputs!$B$6))*J21</f>
        <v>921.51065199338086</v>
      </c>
      <c r="K20" s="26">
        <f>MIN(D20*(1+Inputs!$B$33),1)</f>
        <v>7.5000000000000011E-2</v>
      </c>
      <c r="L20" s="27">
        <f>F20-E20+C20*Inputs!$B$16*(1/(1+Inputs!$B$6))+(1-C20)*(1-K20)*(1/(1+Inputs!$B$6))*L21</f>
        <v>555.46680156255957</v>
      </c>
      <c r="M20" s="26">
        <f>MAX(D20*(1+Inputs!$B$34),D20-Inputs!$B$35)</f>
        <v>2.5000000000000001E-2</v>
      </c>
      <c r="N20" s="27">
        <f>F20-E20+C20*Inputs!$B$16*(1/(1+Inputs!$B$6))+(1-C20)*(1-M20)*(1/(1+Inputs!$B$6))*N21</f>
        <v>663.68050999760726</v>
      </c>
      <c r="O20" s="27">
        <f>F20*(1+Inputs!$B$36)</f>
        <v>99.830921840437327</v>
      </c>
      <c r="P20" s="27">
        <f>O20-E20+C20*Inputs!$B$16*(1/(1+Inputs!$B$6))+(1-C20)*(1-D20)*(1/(1+Inputs!$B$6))*P21</f>
        <v>655.30010453174259</v>
      </c>
      <c r="Q20" s="27">
        <f>C20*Inputs!$B$16*(1/(1+Inputs!$B$6))+(1-C20)*(1-D20)*(1/(1+Inputs!$B$6))*Q21</f>
        <v>2099.5583969538584</v>
      </c>
      <c r="R20" s="27">
        <f>F20+(1-C20)*(1-D20)*(1/(1+Inputs!$B$6))*R21</f>
        <v>478.61840857318515</v>
      </c>
      <c r="S20" s="27">
        <f>E20+(1-C20)*(1-D20)*(1/(1+Inputs!$B$6))*S21</f>
        <v>1970.7385418526194</v>
      </c>
      <c r="T20" s="9">
        <f t="shared" si="0"/>
        <v>2924802.5654506497</v>
      </c>
      <c r="U20" s="9">
        <f t="shared" si="1"/>
        <v>1512251.9966652128</v>
      </c>
      <c r="V20" s="9">
        <f t="shared" si="2"/>
        <v>270805.24255699757</v>
      </c>
      <c r="W20" s="9">
        <f t="shared" si="3"/>
        <v>230453.76509522359</v>
      </c>
      <c r="X20" s="9">
        <f>G20*Inputs!$B$16</f>
        <v>962995827.01898777</v>
      </c>
      <c r="Y20" s="9">
        <f t="shared" si="4"/>
        <v>10109329.874246206</v>
      </c>
      <c r="Z20" s="9">
        <f t="shared" si="5"/>
        <v>0</v>
      </c>
      <c r="AA20" s="9">
        <f t="shared" si="6"/>
        <v>2304537.6509522311</v>
      </c>
      <c r="AB20" s="14">
        <f t="shared" si="7"/>
        <v>0</v>
      </c>
    </row>
    <row r="21" spans="1:28" x14ac:dyDescent="0.3">
      <c r="A21" s="6">
        <v>15</v>
      </c>
      <c r="B21" s="6">
        <f>Inputs!$B$14+A21</f>
        <v>55</v>
      </c>
      <c r="C21" s="26">
        <f>MIN(Inputs!$B$21*(1-EXP(-(Inputs!$B$8+Inputs!$B$9*Inputs!$B$10^B21))),1)</f>
        <v>1.8912668538243471E-3</v>
      </c>
      <c r="D21" s="26">
        <f>Inputs!$B$20</f>
        <v>0.05</v>
      </c>
      <c r="E21" s="27">
        <f>Inputs!$B$17</f>
        <v>400</v>
      </c>
      <c r="F21" s="27">
        <f>Inputs!$B$18*(1+Inputs!$B$19)^A21</f>
        <v>93.478044996045867</v>
      </c>
      <c r="G21" s="9">
        <f t="shared" si="8"/>
        <v>4566.4218451072538</v>
      </c>
      <c r="H21" s="27">
        <f>F21-E21+C21*Inputs!$B$16*(1/(1+Inputs!$B$6))+(1-C21)*(1-D21)*(1/(1+Inputs!$B$6))*H22</f>
        <v>635.58814325282515</v>
      </c>
      <c r="I21" s="26">
        <f>MIN(C21*(1+Inputs!$B$31),1)</f>
        <v>2.1749568818979991E-3</v>
      </c>
      <c r="J21" s="27">
        <f>F21-E21+I21*Inputs!$B$16*(1/(1+Inputs!$B$6))+(1-I21)*(1-D21)*(1/(1+Inputs!$B$6))*J22</f>
        <v>922.92944416013893</v>
      </c>
      <c r="K21" s="26">
        <f>MIN(D21*(1+Inputs!$B$33),1)</f>
        <v>7.5000000000000011E-2</v>
      </c>
      <c r="L21" s="27">
        <f>F21-E21+C21*Inputs!$B$16*(1/(1+Inputs!$B$6))+(1-C21)*(1-K21)*(1/(1+Inputs!$B$6))*L22</f>
        <v>594.7963196620517</v>
      </c>
      <c r="M21" s="26">
        <f>MAX(D21*(1+Inputs!$B$34),D21-Inputs!$B$35)</f>
        <v>2.5000000000000001E-2</v>
      </c>
      <c r="N21" s="27">
        <f>F21-E21+C21*Inputs!$B$16*(1/(1+Inputs!$B$6))+(1-C21)*(1-M21)*(1/(1+Inputs!$B$6))*N22</f>
        <v>678.8074934603485</v>
      </c>
      <c r="O21" s="27">
        <f>F21*(1+Inputs!$B$36)</f>
        <v>102.82584949565046</v>
      </c>
      <c r="P21" s="27">
        <f>O21-E21+C21*Inputs!$B$16*(1/(1+Inputs!$B$6))+(1-C21)*(1-D21)*(1/(1+Inputs!$B$6))*P22</f>
        <v>677.71256822894543</v>
      </c>
      <c r="Q21" s="27">
        <f>C21*Inputs!$B$16*(1/(1+Inputs!$B$6))+(1-C21)*(1-D21)*(1/(1+Inputs!$B$6))*Q22</f>
        <v>1920.2672113795122</v>
      </c>
      <c r="R21" s="27">
        <f>F21+(1-C21)*(1-D21)*(1/(1+Inputs!$B$6))*R22</f>
        <v>421.24424976120258</v>
      </c>
      <c r="S21" s="27">
        <f>E21+(1-C21)*(1-D21)*(1/(1+Inputs!$B$6))*S22</f>
        <v>1705.9233178878897</v>
      </c>
      <c r="T21" s="9">
        <f t="shared" si="0"/>
        <v>2902363.5818408593</v>
      </c>
      <c r="U21" s="9">
        <f t="shared" si="1"/>
        <v>1312121.5934646945</v>
      </c>
      <c r="V21" s="9">
        <f t="shared" si="2"/>
        <v>197357.78491897535</v>
      </c>
      <c r="W21" s="9">
        <f t="shared" si="3"/>
        <v>192357.89442353725</v>
      </c>
      <c r="X21" s="9">
        <f>G21*Inputs!$B$16</f>
        <v>913284369.02145076</v>
      </c>
      <c r="Y21" s="9">
        <f t="shared" si="4"/>
        <v>8768750.1424865928</v>
      </c>
      <c r="Z21" s="9">
        <f t="shared" si="5"/>
        <v>0</v>
      </c>
      <c r="AA21" s="9">
        <f t="shared" si="6"/>
        <v>1923578.9442353717</v>
      </c>
      <c r="AB21" s="14">
        <f t="shared" si="7"/>
        <v>0</v>
      </c>
    </row>
    <row r="22" spans="1:28" x14ac:dyDescent="0.3">
      <c r="A22" s="6">
        <v>16</v>
      </c>
      <c r="B22" s="6">
        <f>Inputs!$B$14+A22</f>
        <v>56</v>
      </c>
      <c r="C22" s="26">
        <f>MIN(Inputs!$B$21*(1-EXP(-(Inputs!$B$8+Inputs!$B$9*Inputs!$B$10^B22))),1)</f>
        <v>2.0983121528576065E-3</v>
      </c>
      <c r="D22" s="26">
        <f>Inputs!$B$20</f>
        <v>0.05</v>
      </c>
      <c r="E22" s="27">
        <f>Inputs!$B$17</f>
        <v>400</v>
      </c>
      <c r="F22" s="27">
        <f>Inputs!$B$18*(1+Inputs!$B$19)^A22</f>
        <v>96.282386345927222</v>
      </c>
      <c r="G22" s="9">
        <f t="shared" si="8"/>
        <v>4329.8962466894718</v>
      </c>
      <c r="H22" s="27">
        <f>F22-E22+C22*Inputs!$B$16*(1/(1+Inputs!$B$6))+(1-C22)*(1-D22)*(1/(1+Inputs!$B$6))*H23</f>
        <v>624.4652730402795</v>
      </c>
      <c r="I22" s="26">
        <f>MIN(C22*(1+Inputs!$B$31),1)</f>
        <v>2.4130589757862474E-3</v>
      </c>
      <c r="J22" s="27">
        <f>F22-E22+I22*Inputs!$B$16*(1/(1+Inputs!$B$6))+(1-I22)*(1-D22)*(1/(1+Inputs!$B$6))*J23</f>
        <v>877.00593932363518</v>
      </c>
      <c r="K22" s="26">
        <f>MIN(D22*(1+Inputs!$B$33),1)</f>
        <v>7.5000000000000011E-2</v>
      </c>
      <c r="L22" s="27">
        <f>F22-E22+C22*Inputs!$B$16*(1/(1+Inputs!$B$6))+(1-C22)*(1-K22)*(1/(1+Inputs!$B$6))*L23</f>
        <v>595.83439767492519</v>
      </c>
      <c r="M22" s="26">
        <f>MAX(D22*(1+Inputs!$B$34),D22-Inputs!$B$35)</f>
        <v>2.5000000000000001E-2</v>
      </c>
      <c r="N22" s="27">
        <f>F22-E22+C22*Inputs!$B$16*(1/(1+Inputs!$B$6))+(1-C22)*(1-M22)*(1/(1+Inputs!$B$6))*N23</f>
        <v>654.19722167851933</v>
      </c>
      <c r="O22" s="27">
        <f>F22*(1+Inputs!$B$36)</f>
        <v>105.91062498051996</v>
      </c>
      <c r="P22" s="27">
        <f>O22-E22+C22*Inputs!$B$16*(1/(1+Inputs!$B$6))+(1-C22)*(1-D22)*(1/(1+Inputs!$B$6))*P23</f>
        <v>660.06936682040225</v>
      </c>
      <c r="Q22" s="27">
        <f>C22*Inputs!$B$16*(1/(1+Inputs!$B$6))+(1-C22)*(1-D22)*(1/(1+Inputs!$B$6))*Q23</f>
        <v>1687.0030539646093</v>
      </c>
      <c r="R22" s="27">
        <f>F22+(1-C22)*(1-D22)*(1/(1+Inputs!$B$6))*R23</f>
        <v>356.04093780122741</v>
      </c>
      <c r="S22" s="27">
        <f>E22+(1-C22)*(1-D22)*(1/(1+Inputs!$B$6))*S23</f>
        <v>1418.5787187255573</v>
      </c>
      <c r="T22" s="9">
        <f t="shared" si="0"/>
        <v>2703869.8419250222</v>
      </c>
      <c r="U22" s="9">
        <f t="shared" si="1"/>
        <v>1093474.8830767602</v>
      </c>
      <c r="V22" s="9">
        <f t="shared" si="2"/>
        <v>128736.25281547879</v>
      </c>
      <c r="W22" s="9">
        <f t="shared" si="3"/>
        <v>154162.03202533346</v>
      </c>
      <c r="X22" s="9">
        <f>G22*Inputs!$B$16</f>
        <v>865979249.33789432</v>
      </c>
      <c r="Y22" s="9">
        <f t="shared" si="4"/>
        <v>7304548.1915150387</v>
      </c>
      <c r="Z22" s="9">
        <f t="shared" si="5"/>
        <v>0</v>
      </c>
      <c r="AA22" s="9">
        <f t="shared" si="6"/>
        <v>1541620.3202533342</v>
      </c>
      <c r="AB22" s="14">
        <f t="shared" si="7"/>
        <v>0</v>
      </c>
    </row>
    <row r="23" spans="1:28" x14ac:dyDescent="0.3">
      <c r="A23" s="6">
        <v>17</v>
      </c>
      <c r="B23" s="6">
        <f>Inputs!$B$14+A23</f>
        <v>57</v>
      </c>
      <c r="C23" s="26">
        <f>MIN(Inputs!$B$21*(1-EXP(-(Inputs!$B$8+Inputs!$B$9*Inputs!$B$10^B23))),1)</f>
        <v>2.3309798017238093E-3</v>
      </c>
      <c r="D23" s="26">
        <f>Inputs!$B$20</f>
        <v>0.05</v>
      </c>
      <c r="E23" s="27">
        <f>Inputs!$B$17</f>
        <v>400</v>
      </c>
      <c r="F23" s="27">
        <f>Inputs!$B$18*(1+Inputs!$B$19)^A23</f>
        <v>99.17085793630504</v>
      </c>
      <c r="G23" s="9">
        <f t="shared" si="8"/>
        <v>4104.770234135709</v>
      </c>
      <c r="H23" s="27">
        <f>F23-E23+C23*Inputs!$B$16*(1/(1+Inputs!$B$6))+(1-C23)*(1-D23)*(1/(1+Inputs!$B$6))*H24</f>
        <v>565.78291835626783</v>
      </c>
      <c r="I23" s="26">
        <f>MIN(C23*(1+Inputs!$B$31),1)</f>
        <v>2.6806267719823806E-3</v>
      </c>
      <c r="J23" s="27">
        <f>F23-E23+I23*Inputs!$B$16*(1/(1+Inputs!$B$6))+(1-I23)*(1-D23)*(1/(1+Inputs!$B$6))*J24</f>
        <v>774.00821632614839</v>
      </c>
      <c r="K23" s="26">
        <f>MIN(D23*(1+Inputs!$B$33),1)</f>
        <v>7.5000000000000011E-2</v>
      </c>
      <c r="L23" s="27">
        <f>F23-E23+C23*Inputs!$B$16*(1/(1+Inputs!$B$6))+(1-C23)*(1-K23)*(1/(1+Inputs!$B$6))*L24</f>
        <v>549.12644528532383</v>
      </c>
      <c r="M23" s="26">
        <f>MAX(D23*(1+Inputs!$B$34),D23-Inputs!$B$35)</f>
        <v>2.5000000000000001E-2</v>
      </c>
      <c r="N23" s="27">
        <f>F23-E23+C23*Inputs!$B$16*(1/(1+Inputs!$B$6))+(1-C23)*(1-M23)*(1/(1+Inputs!$B$6))*N24</f>
        <v>582.75084427714614</v>
      </c>
      <c r="O23" s="27">
        <f>F23*(1+Inputs!$B$36)</f>
        <v>109.08794372993556</v>
      </c>
      <c r="P23" s="27">
        <f>O23-E23+C23*Inputs!$B$16*(1/(1+Inputs!$B$6))+(1-C23)*(1-D23)*(1/(1+Inputs!$B$6))*P24</f>
        <v>594.00543358178743</v>
      </c>
      <c r="Q23" s="27">
        <f>C23*Inputs!$B$16*(1/(1+Inputs!$B$6))+(1-C23)*(1-D23)*(1/(1+Inputs!$B$6))*Q24</f>
        <v>1390.233686357318</v>
      </c>
      <c r="R23" s="27">
        <f>F23+(1-C23)*(1-D23)*(1/(1+Inputs!$B$6))*R24</f>
        <v>282.22515225519732</v>
      </c>
      <c r="S23" s="27">
        <f>E23+(1-C23)*(1-D23)*(1/(1+Inputs!$B$6))*S24</f>
        <v>1106.6759202562475</v>
      </c>
      <c r="T23" s="9">
        <f t="shared" si="0"/>
        <v>2322408.8822512422</v>
      </c>
      <c r="U23" s="9">
        <f t="shared" si="1"/>
        <v>854717.00510080438</v>
      </c>
      <c r="V23" s="9">
        <f t="shared" si="2"/>
        <v>69649.437255041048</v>
      </c>
      <c r="W23" s="9">
        <f t="shared" si="3"/>
        <v>115846.9404301547</v>
      </c>
      <c r="X23" s="9">
        <f>G23*Inputs!$B$16</f>
        <v>820954046.82714176</v>
      </c>
      <c r="Y23" s="9">
        <f t="shared" si="4"/>
        <v>5706589.8542522779</v>
      </c>
      <c r="Z23" s="9">
        <f t="shared" si="5"/>
        <v>0</v>
      </c>
      <c r="AA23" s="9">
        <f t="shared" si="6"/>
        <v>1158469.4043015523</v>
      </c>
      <c r="AB23" s="14">
        <f t="shared" si="7"/>
        <v>0</v>
      </c>
    </row>
    <row r="24" spans="1:28" x14ac:dyDescent="0.3">
      <c r="A24" s="6">
        <v>18</v>
      </c>
      <c r="B24" s="6">
        <f>Inputs!$B$14+A24</f>
        <v>58</v>
      </c>
      <c r="C24" s="26">
        <f>MIN(Inputs!$B$21*(1-EXP(-(Inputs!$B$8+Inputs!$B$9*Inputs!$B$10^B24))),1)</f>
        <v>2.5924334844102948E-3</v>
      </c>
      <c r="D24" s="26">
        <f>Inputs!$B$20</f>
        <v>0.05</v>
      </c>
      <c r="E24" s="27">
        <f>Inputs!$B$17</f>
        <v>400</v>
      </c>
      <c r="F24" s="27">
        <f>Inputs!$B$18*(1+Inputs!$B$19)^A24</f>
        <v>102.14598367439419</v>
      </c>
      <c r="G24" s="9">
        <f t="shared" si="8"/>
        <v>3890.4419927477602</v>
      </c>
      <c r="H24" s="27">
        <f>F24-E24+C24*Inputs!$B$16*(1/(1+Inputs!$B$6))+(1-C24)*(1-D24)*(1/(1+Inputs!$B$6))*H25</f>
        <v>449.90605021868026</v>
      </c>
      <c r="I24" s="26">
        <f>MIN(C24*(1+Inputs!$B$31),1)</f>
        <v>2.9812985070718388E-3</v>
      </c>
      <c r="J24" s="27">
        <f>F24-E24+I24*Inputs!$B$16*(1/(1+Inputs!$B$6))+(1-I24)*(1-D24)*(1/(1+Inputs!$B$6))*J25</f>
        <v>602.62290682910066</v>
      </c>
      <c r="K24" s="26">
        <f>MIN(D24*(1+Inputs!$B$33),1)</f>
        <v>7.5000000000000011E-2</v>
      </c>
      <c r="L24" s="27">
        <f>F24-E24+C24*Inputs!$B$16*(1/(1+Inputs!$B$6))+(1-C24)*(1-K24)*(1/(1+Inputs!$B$6))*L25</f>
        <v>443.47513116761854</v>
      </c>
      <c r="M24" s="26">
        <f>MAX(D24*(1+Inputs!$B$34),D24-Inputs!$B$35)</f>
        <v>2.5000000000000001E-2</v>
      </c>
      <c r="N24" s="27">
        <f>F24-E24+C24*Inputs!$B$16*(1/(1+Inputs!$B$6))+(1-C24)*(1-M24)*(1/(1+Inputs!$B$6))*N25</f>
        <v>456.33696926974199</v>
      </c>
      <c r="O24" s="27">
        <f>F24*(1+Inputs!$B$36)</f>
        <v>112.36058204183361</v>
      </c>
      <c r="P24" s="27">
        <f>O24-E24+C24*Inputs!$B$16*(1/(1+Inputs!$B$6))+(1-C24)*(1-D24)*(1/(1+Inputs!$B$6))*P25</f>
        <v>469.79936040169139</v>
      </c>
      <c r="Q24" s="27">
        <f>C24*Inputs!$B$16*(1/(1+Inputs!$B$6))+(1-C24)*(1-D24)*(1/(1+Inputs!$B$6))*Q25</f>
        <v>1018.9485554525722</v>
      </c>
      <c r="R24" s="27">
        <f>F24+(1-C24)*(1-D24)*(1/(1+Inputs!$B$6))*R25</f>
        <v>198.93310183011192</v>
      </c>
      <c r="S24" s="27">
        <f>E24+(1-C24)*(1-D24)*(1/(1+Inputs!$B$6))*S25</f>
        <v>767.97560706400395</v>
      </c>
      <c r="T24" s="9">
        <f t="shared" si="0"/>
        <v>1750333.3905620363</v>
      </c>
      <c r="U24" s="9">
        <f t="shared" si="1"/>
        <v>594136.07195761788</v>
      </c>
      <c r="V24" s="9">
        <f t="shared" si="2"/>
        <v>25019.117528212097</v>
      </c>
      <c r="W24" s="9">
        <f t="shared" si="3"/>
        <v>77393.769310743111</v>
      </c>
      <c r="X24" s="9">
        <f>G24*Inputs!$B$16</f>
        <v>778088398.54955208</v>
      </c>
      <c r="Y24" s="9">
        <f t="shared" si="4"/>
        <v>3964160.2485823566</v>
      </c>
      <c r="Z24" s="9">
        <f t="shared" si="5"/>
        <v>0</v>
      </c>
      <c r="AA24" s="9">
        <f t="shared" si="6"/>
        <v>773937.69310743373</v>
      </c>
      <c r="AB24" s="14">
        <f t="shared" si="7"/>
        <v>0</v>
      </c>
    </row>
    <row r="25" spans="1:28" x14ac:dyDescent="0.3">
      <c r="A25" s="6">
        <v>19</v>
      </c>
      <c r="B25" s="6">
        <f>Inputs!$B$14+A25</f>
        <v>59</v>
      </c>
      <c r="C25" s="26">
        <f>MIN(Inputs!$B$21*(1-EXP(-(Inputs!$B$8+Inputs!$B$9*Inputs!$B$10^B25))),1)</f>
        <v>2.8862256358298533E-3</v>
      </c>
      <c r="D25" s="26">
        <f>Inputs!$B$20</f>
        <v>0.05</v>
      </c>
      <c r="E25" s="27">
        <f>Inputs!$B$17</f>
        <v>400</v>
      </c>
      <c r="F25" s="27">
        <f>Inputs!$B$18*(1+Inputs!$B$19)^A25</f>
        <v>105.21036318462602</v>
      </c>
      <c r="G25" s="9">
        <f t="shared" si="8"/>
        <v>3686.3384666237748</v>
      </c>
      <c r="H25" s="27">
        <f>F25-E25+C25*Inputs!$B$16*(1/(1+Inputs!$B$6))+(1-C25)*(1-D25)*(1/(1+Inputs!$B$6))*H26</f>
        <v>265.64252548168491</v>
      </c>
      <c r="I25" s="26">
        <f>MIN(C25*(1+Inputs!$B$31),1)</f>
        <v>3.3191594812043311E-3</v>
      </c>
      <c r="J25" s="27">
        <f>F25-E25+I25*Inputs!$B$16*(1/(1+Inputs!$B$6))+(1-I25)*(1-D25)*(1/(1+Inputs!$B$6))*J26</f>
        <v>349.70734982624373</v>
      </c>
      <c r="K25" s="26">
        <f>MIN(D25*(1+Inputs!$B$33),1)</f>
        <v>7.5000000000000011E-2</v>
      </c>
      <c r="L25" s="27">
        <f>F25-E25+C25*Inputs!$B$16*(1/(1+Inputs!$B$6))+(1-C25)*(1-K25)*(1/(1+Inputs!$B$6))*L26</f>
        <v>265.64252548168491</v>
      </c>
      <c r="M25" s="26">
        <f>MAX(D25*(1+Inputs!$B$34),D25-Inputs!$B$35)</f>
        <v>2.5000000000000001E-2</v>
      </c>
      <c r="N25" s="27">
        <f>F25-E25+C25*Inputs!$B$16*(1/(1+Inputs!$B$6))+(1-C25)*(1-M25)*(1/(1+Inputs!$B$6))*N26</f>
        <v>265.64252548168491</v>
      </c>
      <c r="O25" s="27">
        <f>F25*(1+Inputs!$B$36)</f>
        <v>115.73139950308862</v>
      </c>
      <c r="P25" s="27">
        <f>O25-E25+C25*Inputs!$B$16*(1/(1+Inputs!$B$6))+(1-C25)*(1-D25)*(1/(1+Inputs!$B$6))*P26</f>
        <v>276.16356180014748</v>
      </c>
      <c r="Q25" s="27">
        <f>C25*Inputs!$B$16*(1/(1+Inputs!$B$6))+(1-C25)*(1-D25)*(1/(1+Inputs!$B$6))*Q26</f>
        <v>560.43216229705888</v>
      </c>
      <c r="R25" s="27">
        <f>F25+(1-C25)*(1-D25)*(1/(1+Inputs!$B$6))*R26</f>
        <v>105.21036318462602</v>
      </c>
      <c r="S25" s="27">
        <f>E25+(1-C25)*(1-D25)*(1/(1+Inputs!$B$6))*S26</f>
        <v>400</v>
      </c>
      <c r="T25" s="9">
        <f t="shared" si="0"/>
        <v>979248.26005422138</v>
      </c>
      <c r="U25" s="9">
        <f t="shared" si="1"/>
        <v>309891.39567131794</v>
      </c>
      <c r="V25" s="9">
        <f t="shared" si="2"/>
        <v>0</v>
      </c>
      <c r="W25" s="9">
        <f t="shared" si="3"/>
        <v>38784.10088949433</v>
      </c>
      <c r="X25" s="9">
        <f>G25*Inputs!$B$16</f>
        <v>737267693.32475495</v>
      </c>
      <c r="Y25" s="9">
        <f t="shared" si="4"/>
        <v>2065942.6378087865</v>
      </c>
      <c r="Z25" s="9">
        <f t="shared" si="5"/>
        <v>0</v>
      </c>
      <c r="AA25" s="9">
        <f t="shared" si="6"/>
        <v>387841.00889494474</v>
      </c>
      <c r="AB25" s="14">
        <f t="shared" si="7"/>
        <v>0</v>
      </c>
    </row>
    <row r="26" spans="1:28" x14ac:dyDescent="0.3">
      <c r="A26" s="6" t="s">
        <v>123</v>
      </c>
      <c r="B26" s="6"/>
      <c r="C26" s="6"/>
      <c r="D26" s="6"/>
      <c r="E26" s="6"/>
      <c r="F26" s="6"/>
      <c r="G26" s="6"/>
      <c r="H26" s="6">
        <v>0</v>
      </c>
      <c r="I26" s="6"/>
      <c r="J26" s="6">
        <v>0</v>
      </c>
      <c r="K26" s="6"/>
      <c r="L26" s="6">
        <v>0</v>
      </c>
      <c r="M26" s="6"/>
      <c r="N26" s="6">
        <v>0</v>
      </c>
      <c r="O26" s="6"/>
      <c r="P26" s="6">
        <v>0</v>
      </c>
      <c r="Q26" s="6">
        <v>0</v>
      </c>
      <c r="R26" s="6">
        <v>0</v>
      </c>
      <c r="S26" s="6">
        <v>0</v>
      </c>
      <c r="T26" s="6"/>
      <c r="U26" s="6"/>
      <c r="V26" s="6"/>
      <c r="W26" s="6"/>
      <c r="X26" s="6"/>
      <c r="Y26" s="6"/>
      <c r="Z26" s="6"/>
      <c r="AA26" s="6"/>
      <c r="AB26" s="6"/>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51"/>
  <sheetViews>
    <sheetView topLeftCell="E1" zoomScaleNormal="100" workbookViewId="0">
      <selection activeCell="A5" sqref="A5"/>
    </sheetView>
  </sheetViews>
  <sheetFormatPr defaultColWidth="8.6640625" defaultRowHeight="14.4" x14ac:dyDescent="0.3"/>
  <cols>
    <col min="1" max="1" width="8" customWidth="1"/>
    <col min="2" max="39" width="13" customWidth="1"/>
  </cols>
  <sheetData>
    <row r="1" spans="1:18" ht="17.399999999999999" x14ac:dyDescent="0.3">
      <c r="A1" s="5" t="s">
        <v>124</v>
      </c>
      <c r="B1" s="6"/>
      <c r="C1" s="6"/>
      <c r="D1" s="6"/>
      <c r="E1" s="6"/>
      <c r="F1" s="6"/>
      <c r="G1" s="6"/>
      <c r="H1" s="6"/>
      <c r="I1" s="6"/>
      <c r="J1" s="6"/>
      <c r="K1" s="6"/>
      <c r="L1" s="6"/>
      <c r="M1" s="6"/>
      <c r="N1" s="6"/>
      <c r="O1" s="6"/>
      <c r="P1" s="6"/>
      <c r="Q1" s="6"/>
      <c r="R1" s="6"/>
    </row>
    <row r="2" spans="1:18" x14ac:dyDescent="0.3">
      <c r="A2" s="33" t="s">
        <v>209</v>
      </c>
      <c r="B2" s="6"/>
      <c r="C2" s="6"/>
      <c r="D2" s="6"/>
      <c r="E2" s="6"/>
      <c r="F2" s="6"/>
      <c r="G2" s="6"/>
      <c r="H2" s="6"/>
      <c r="I2" s="6"/>
      <c r="J2" s="6"/>
      <c r="K2" s="6"/>
      <c r="L2" s="6"/>
      <c r="M2" s="6"/>
      <c r="N2" s="6"/>
      <c r="O2" s="6"/>
      <c r="P2" s="6"/>
      <c r="Q2" s="6"/>
      <c r="R2" s="6"/>
    </row>
    <row r="3" spans="1:18" x14ac:dyDescent="0.3">
      <c r="A3" s="6" t="s">
        <v>208</v>
      </c>
      <c r="B3" s="6"/>
      <c r="C3" s="6"/>
      <c r="D3" s="6"/>
      <c r="E3" s="6"/>
      <c r="F3" s="6"/>
      <c r="G3" s="6"/>
      <c r="H3" s="6"/>
      <c r="I3" s="6"/>
      <c r="J3" s="6"/>
      <c r="K3" s="6"/>
      <c r="L3" s="6"/>
      <c r="M3" s="6"/>
      <c r="N3" s="6"/>
      <c r="O3" s="6"/>
      <c r="P3" s="6"/>
      <c r="Q3" s="6"/>
      <c r="R3" s="6"/>
    </row>
    <row r="4" spans="1:18" x14ac:dyDescent="0.3">
      <c r="A4" s="6"/>
      <c r="B4" s="6"/>
      <c r="C4" s="6"/>
      <c r="D4" s="6"/>
      <c r="E4" s="6"/>
      <c r="F4" s="6"/>
      <c r="G4" s="6"/>
      <c r="H4" s="6"/>
      <c r="I4" s="6"/>
      <c r="J4" s="6"/>
      <c r="K4" s="6"/>
      <c r="L4" s="6"/>
      <c r="M4" s="6"/>
      <c r="N4" s="6"/>
      <c r="O4" s="6"/>
      <c r="P4" s="6"/>
      <c r="Q4" s="6"/>
      <c r="R4" s="6"/>
    </row>
    <row r="5" spans="1:18" ht="57.75" customHeight="1" x14ac:dyDescent="0.3">
      <c r="A5" s="8" t="s">
        <v>96</v>
      </c>
      <c r="B5" s="8" t="s">
        <v>97</v>
      </c>
      <c r="C5" s="8" t="s">
        <v>98</v>
      </c>
      <c r="D5" s="8" t="s">
        <v>125</v>
      </c>
      <c r="E5" s="8" t="s">
        <v>100</v>
      </c>
      <c r="F5" s="8" t="s">
        <v>101</v>
      </c>
      <c r="G5" s="8" t="s">
        <v>102</v>
      </c>
      <c r="H5" s="8" t="s">
        <v>126</v>
      </c>
      <c r="I5" s="8" t="s">
        <v>127</v>
      </c>
      <c r="J5" s="8" t="s">
        <v>109</v>
      </c>
      <c r="K5" s="8" t="s">
        <v>110</v>
      </c>
      <c r="L5" s="8" t="s">
        <v>128</v>
      </c>
      <c r="M5" s="8" t="s">
        <v>112</v>
      </c>
      <c r="N5" s="8" t="s">
        <v>114</v>
      </c>
      <c r="O5" s="8" t="s">
        <v>129</v>
      </c>
      <c r="P5" s="8" t="s">
        <v>117</v>
      </c>
      <c r="Q5" s="8" t="s">
        <v>130</v>
      </c>
      <c r="R5" s="8" t="s">
        <v>121</v>
      </c>
    </row>
    <row r="6" spans="1:18" x14ac:dyDescent="0.3">
      <c r="A6" s="6">
        <v>0</v>
      </c>
      <c r="B6" s="6">
        <f>Inputs!$B$25+A6</f>
        <v>65</v>
      </c>
      <c r="C6" s="26">
        <f>MIN(Inputs!$B$28*(1-EXP(-(Inputs!$B$8+Inputs!$B$9*Inputs!$B$10^B6))),1)</f>
        <v>4.1918826521059327E-3</v>
      </c>
      <c r="D6" s="27">
        <f>Inputs!$B$26</f>
        <v>12000</v>
      </c>
      <c r="E6" s="27">
        <f>Inputs!$B$27*(1+Inputs!$B$19)^A6</f>
        <v>90</v>
      </c>
      <c r="F6" s="9">
        <f>Inputs!$B$24</f>
        <v>300</v>
      </c>
      <c r="G6" s="27">
        <f>E6+(1-C6)*D6*(1/(1+Inputs!$B$6))+(1-C6)*(1/(1+Inputs!$B$6))*G7</f>
        <v>203497.21840152566</v>
      </c>
      <c r="H6" s="26">
        <f>MIN(MAX(C6*(1+Inputs!$B$32),0),1)</f>
        <v>3.3535061216847465E-3</v>
      </c>
      <c r="I6" s="27">
        <f>E6+(1-H6)*D6*(1/(1+Inputs!$B$6))+(1-H6)*(1/(1+Inputs!$B$6))*I7</f>
        <v>213617.70623565716</v>
      </c>
      <c r="J6" s="27">
        <f>E6*(1+Inputs!$B$36)</f>
        <v>99.000000000000014</v>
      </c>
      <c r="K6" s="27">
        <f>J6+(1-C6)*D6*(1/(1+Inputs!$B$6))+(1-C6)*(1/(1+Inputs!$B$6))*K7</f>
        <v>203730.98895686568</v>
      </c>
      <c r="L6" s="27">
        <f>(1-C6)*D6*(1/(1+Inputs!$B$6))+(1-C6)*(1/(1+Inputs!$B$6))*L7</f>
        <v>201159.51284812603</v>
      </c>
      <c r="M6" s="27">
        <f>E6+(1-C6)*(1/(1+Inputs!$B$6))*M7</f>
        <v>2337.7055533996931</v>
      </c>
      <c r="N6" s="9">
        <f t="shared" ref="N6:N50" si="0">F6*G6</f>
        <v>61049165.5204577</v>
      </c>
      <c r="O6" s="9">
        <f t="shared" ref="O6:O50" si="1">F6*MAX(I6-G6,0)</f>
        <v>3036146.3502394473</v>
      </c>
      <c r="P6" s="9">
        <f t="shared" ref="P6:P50" si="2">F6*MAX(K6-G6,0)</f>
        <v>70131.166602004669</v>
      </c>
      <c r="Q6" s="9">
        <f t="shared" ref="Q6:Q50" si="3">F6*L6</f>
        <v>60347853.854437813</v>
      </c>
      <c r="R6" s="9">
        <f t="shared" ref="R6:R50" si="4">F6*M6</f>
        <v>701311.66601990792</v>
      </c>
    </row>
    <row r="7" spans="1:18" x14ac:dyDescent="0.3">
      <c r="A7" s="6">
        <v>1</v>
      </c>
      <c r="B7" s="6">
        <f>Inputs!$B$25+A7</f>
        <v>66</v>
      </c>
      <c r="C7" s="26">
        <f>MIN(Inputs!$B$28*(1-EXP(-(Inputs!$B$8+Inputs!$B$9*Inputs!$B$10^B7))),1)</f>
        <v>4.689708909614787E-3</v>
      </c>
      <c r="D7" s="27">
        <f>Inputs!$B$26</f>
        <v>12000</v>
      </c>
      <c r="E7" s="27">
        <f>Inputs!$B$27*(1+Inputs!$B$19)^A7</f>
        <v>92.7</v>
      </c>
      <c r="F7" s="9">
        <f t="shared" ref="F7:F50" si="5">F6*(1-C6)</f>
        <v>298.74243520436823</v>
      </c>
      <c r="G7" s="27">
        <f>E7+(1-C7)*D7*(1/(1+Inputs!$B$6))+(1-C7)*(1/(1+Inputs!$B$6))*G8</f>
        <v>198391.37089136374</v>
      </c>
      <c r="H7" s="26">
        <f>MIN(MAX(C7*(1+Inputs!$B$32),0),1)</f>
        <v>3.7517671276918298E-3</v>
      </c>
      <c r="I7" s="27">
        <f>E7+(1-H7)*D7*(1/(1+Inputs!$B$6))+(1-H7)*(1/(1+Inputs!$B$6))*I8</f>
        <v>208673.56758250881</v>
      </c>
      <c r="J7" s="27">
        <f>E7*(1+Inputs!$B$36)</f>
        <v>101.97000000000001</v>
      </c>
      <c r="K7" s="27">
        <f>J7+(1-C7)*D7*(1/(1+Inputs!$B$6))+(1-C7)*(1/(1+Inputs!$B$6))*K8</f>
        <v>198623.85912676473</v>
      </c>
      <c r="L7" s="27">
        <f>(1-C7)*D7*(1/(1+Inputs!$B$6))+(1-C7)*(1/(1+Inputs!$B$6))*L8</f>
        <v>196066.48853735416</v>
      </c>
      <c r="M7" s="27">
        <f>E7+(1-C7)*(1/(1+Inputs!$B$6))*M8</f>
        <v>2324.8823540096441</v>
      </c>
      <c r="N7" s="9">
        <f t="shared" si="0"/>
        <v>59267921.263619021</v>
      </c>
      <c r="O7" s="9">
        <f t="shared" si="1"/>
        <v>3071728.4787629764</v>
      </c>
      <c r="P7" s="9">
        <f t="shared" si="2"/>
        <v>69454.101600058057</v>
      </c>
      <c r="Q7" s="9">
        <f t="shared" si="3"/>
        <v>58573380.247618534</v>
      </c>
      <c r="R7" s="9">
        <f t="shared" si="4"/>
        <v>694541.01600050519</v>
      </c>
    </row>
    <row r="8" spans="1:18" x14ac:dyDescent="0.3">
      <c r="A8" s="6">
        <v>2</v>
      </c>
      <c r="B8" s="6">
        <f>Inputs!$B$25+A8</f>
        <v>67</v>
      </c>
      <c r="C8" s="26">
        <f>MIN(Inputs!$B$28*(1-EXP(-(Inputs!$B$8+Inputs!$B$9*Inputs!$B$10^B8))),1)</f>
        <v>5.2488689731658156E-3</v>
      </c>
      <c r="D8" s="27">
        <f>Inputs!$B$26</f>
        <v>12000</v>
      </c>
      <c r="E8" s="27">
        <f>Inputs!$B$27*(1+Inputs!$B$19)^A8</f>
        <v>95.480999999999995</v>
      </c>
      <c r="F8" s="9">
        <f t="shared" si="5"/>
        <v>297.34142014431029</v>
      </c>
      <c r="G8" s="27">
        <f>E8+(1-C8)*D8*(1/(1+Inputs!$B$6))+(1-C8)*(1/(1+Inputs!$B$6))*G9</f>
        <v>193210.00621258191</v>
      </c>
      <c r="H8" s="26">
        <f>MIN(MAX(C8*(1+Inputs!$B$32),0),1)</f>
        <v>4.199095178532653E-3</v>
      </c>
      <c r="I8" s="27">
        <f>E8+(1-H8)*D8*(1/(1+Inputs!$B$6))+(1-H8)*(1/(1+Inputs!$B$6))*I9</f>
        <v>203647.35225735704</v>
      </c>
      <c r="J8" s="27">
        <f>E8*(1+Inputs!$B$36)</f>
        <v>105.0291</v>
      </c>
      <c r="K8" s="27">
        <f>J8+(1-C8)*D8*(1/(1+Inputs!$B$6))+(1-C8)*(1/(1+Inputs!$B$6))*K9</f>
        <v>193441.00430887521</v>
      </c>
      <c r="L8" s="27">
        <f>(1-C8)*D8*(1/(1+Inputs!$B$6))+(1-C8)*(1/(1+Inputs!$B$6))*L9</f>
        <v>190900.02524964913</v>
      </c>
      <c r="M8" s="27">
        <f>E8+(1-C8)*(1/(1+Inputs!$B$6))*M9</f>
        <v>2309.9809629328402</v>
      </c>
      <c r="N8" s="9">
        <f t="shared" si="0"/>
        <v>57449337.63334012</v>
      </c>
      <c r="O8" s="9">
        <f t="shared" si="1"/>
        <v>3103455.2954910365</v>
      </c>
      <c r="P8" s="9">
        <f t="shared" si="2"/>
        <v>68685.302002483179</v>
      </c>
      <c r="Q8" s="9">
        <f t="shared" si="3"/>
        <v>56762484.613315366</v>
      </c>
      <c r="R8" s="9">
        <f t="shared" si="4"/>
        <v>686853.02002477203</v>
      </c>
    </row>
    <row r="9" spans="1:18" x14ac:dyDescent="0.3">
      <c r="A9" s="6">
        <v>3</v>
      </c>
      <c r="B9" s="6">
        <f>Inputs!$B$25+A9</f>
        <v>68</v>
      </c>
      <c r="C9" s="26">
        <f>MIN(Inputs!$B$28*(1-EXP(-(Inputs!$B$8+Inputs!$B$9*Inputs!$B$10^B9))),1)</f>
        <v>5.8768641443130987E-3</v>
      </c>
      <c r="D9" s="27">
        <f>Inputs!$B$26</f>
        <v>12000</v>
      </c>
      <c r="E9" s="27">
        <f>Inputs!$B$27*(1+Inputs!$B$19)^A9</f>
        <v>98.345429999999993</v>
      </c>
      <c r="F9" s="9">
        <f t="shared" si="5"/>
        <v>295.78071398967779</v>
      </c>
      <c r="G9" s="27">
        <f>E9+(1-C9)*D9*(1/(1+Inputs!$B$6))+(1-C9)*(1/(1+Inputs!$B$6))*G10</f>
        <v>187957.51174832659</v>
      </c>
      <c r="H9" s="26">
        <f>MIN(MAX(C9*(1+Inputs!$B$32),0),1)</f>
        <v>4.7014913154504795E-3</v>
      </c>
      <c r="I9" s="27">
        <f>E9+(1-H9)*D9*(1/(1+Inputs!$B$6))+(1-H9)*(1/(1+Inputs!$B$6))*I10</f>
        <v>198542.51545660774</v>
      </c>
      <c r="J9" s="27">
        <f>E9*(1+Inputs!$B$36)</f>
        <v>108.179973</v>
      </c>
      <c r="K9" s="27">
        <f>J9+(1-C9)*D9*(1/(1+Inputs!$B$6))+(1-C9)*(1/(1+Inputs!$B$6))*K10</f>
        <v>188186.80879466084</v>
      </c>
      <c r="L9" s="27">
        <f>(1-C9)*D9*(1/(1+Inputs!$B$6))+(1-C9)*(1/(1+Inputs!$B$6))*L10</f>
        <v>185664.54128498439</v>
      </c>
      <c r="M9" s="27">
        <f>E9+(1-C9)*(1/(1+Inputs!$B$6))*M10</f>
        <v>2292.9704633422484</v>
      </c>
      <c r="N9" s="9">
        <f t="shared" si="0"/>
        <v>55594207.024643295</v>
      </c>
      <c r="O9" s="9">
        <f t="shared" si="1"/>
        <v>3130839.9544187849</v>
      </c>
      <c r="P9" s="9">
        <f t="shared" si="2"/>
        <v>67821.644080468672</v>
      </c>
      <c r="Q9" s="9">
        <f t="shared" si="3"/>
        <v>54915990.583838694</v>
      </c>
      <c r="R9" s="9">
        <f t="shared" si="4"/>
        <v>678216.44080461259</v>
      </c>
    </row>
    <row r="10" spans="1:18" x14ac:dyDescent="0.3">
      <c r="A10" s="6">
        <v>4</v>
      </c>
      <c r="B10" s="6">
        <f>Inputs!$B$25+A10</f>
        <v>69</v>
      </c>
      <c r="C10" s="26">
        <f>MIN(Inputs!$B$28*(1-EXP(-(Inputs!$B$8+Inputs!$B$9*Inputs!$B$10^B10))),1)</f>
        <v>6.5820986292939865E-3</v>
      </c>
      <c r="D10" s="27">
        <f>Inputs!$B$26</f>
        <v>12000</v>
      </c>
      <c r="E10" s="27">
        <f>Inputs!$B$27*(1+Inputs!$B$19)^A10</f>
        <v>101.2957929</v>
      </c>
      <c r="F10" s="9">
        <f t="shared" si="5"/>
        <v>294.04245091705252</v>
      </c>
      <c r="G10" s="27">
        <f>E10+(1-C10)*D10*(1/(1+Inputs!$B$6))+(1-C10)*(1/(1+Inputs!$B$6))*G11</f>
        <v>182638.8071346177</v>
      </c>
      <c r="H10" s="26">
        <f>MIN(MAX(C10*(1+Inputs!$B$32),0),1)</f>
        <v>5.2656789034351897E-3</v>
      </c>
      <c r="I10" s="27">
        <f>E10+(1-H10)*D10*(1/(1+Inputs!$B$6))+(1-H10)*(1/(1+Inputs!$B$6))*I11</f>
        <v>193363.00752379387</v>
      </c>
      <c r="J10" s="27">
        <f>E10*(1+Inputs!$B$36)</f>
        <v>111.42537219</v>
      </c>
      <c r="K10" s="27">
        <f>J10+(1-C10)*D10*(1/(1+Inputs!$B$6))+(1-C10)*(1/(1+Inputs!$B$6))*K11</f>
        <v>182866.18981014483</v>
      </c>
      <c r="L10" s="27">
        <f>(1-C10)*D10*(1/(1+Inputs!$B$6))+(1-C10)*(1/(1+Inputs!$B$6))*L11</f>
        <v>180364.98037934679</v>
      </c>
      <c r="M10" s="27">
        <f>E10+(1-C10)*(1/(1+Inputs!$B$6))*M11</f>
        <v>2273.8267552709476</v>
      </c>
      <c r="N10" s="9">
        <f t="shared" si="0"/>
        <v>53703562.482429847</v>
      </c>
      <c r="O10" s="9">
        <f t="shared" si="1"/>
        <v>3153370.1665589698</v>
      </c>
      <c r="P10" s="9">
        <f t="shared" si="2"/>
        <v>66860.159208074008</v>
      </c>
      <c r="Q10" s="9">
        <f t="shared" si="3"/>
        <v>53034960.890349217</v>
      </c>
      <c r="R10" s="9">
        <f t="shared" si="4"/>
        <v>668601.59208063839</v>
      </c>
    </row>
    <row r="11" spans="1:18" x14ac:dyDescent="0.3">
      <c r="A11" s="6">
        <v>5</v>
      </c>
      <c r="B11" s="6">
        <f>Inputs!$B$25+A11</f>
        <v>70</v>
      </c>
      <c r="C11" s="26">
        <f>MIN(Inputs!$B$28*(1-EXP(-(Inputs!$B$8+Inputs!$B$9*Inputs!$B$10^B11))),1)</f>
        <v>7.3739843866411914E-3</v>
      </c>
      <c r="D11" s="27">
        <f>Inputs!$B$26</f>
        <v>12000</v>
      </c>
      <c r="E11" s="27">
        <f>Inputs!$B$27*(1+Inputs!$B$19)^A11</f>
        <v>104.33466668699998</v>
      </c>
      <c r="F11" s="9">
        <f t="shared" si="5"/>
        <v>292.10703450391713</v>
      </c>
      <c r="G11" s="27">
        <f>E11+(1-C11)*D11*(1/(1+Inputs!$B$6))+(1-C11)*(1/(1+Inputs!$B$6))*G12</f>
        <v>177259.36045902764</v>
      </c>
      <c r="H11" s="26">
        <f>MIN(MAX(C11*(1+Inputs!$B$32),0),1)</f>
        <v>5.8991875093129531E-3</v>
      </c>
      <c r="I11" s="27">
        <f>E11+(1-H11)*D11*(1/(1+Inputs!$B$6))+(1-H11)*(1/(1+Inputs!$B$6))*I12</f>
        <v>188113.29544092086</v>
      </c>
      <c r="J11" s="27">
        <f>E11*(1+Inputs!$B$36)</f>
        <v>114.76813335569999</v>
      </c>
      <c r="K11" s="27">
        <f>J11+(1-C11)*D11*(1/(1+Inputs!$B$6))+(1-C11)*(1/(1+Inputs!$B$6))*K12</f>
        <v>177484.6137877783</v>
      </c>
      <c r="L11" s="27">
        <f>(1-C11)*D11*(1/(1+Inputs!$B$6))+(1-C11)*(1/(1+Inputs!$B$6))*L12</f>
        <v>175006.82717152147</v>
      </c>
      <c r="M11" s="27">
        <f>E11+(1-C11)*(1/(1+Inputs!$B$6))*M12</f>
        <v>2252.5332875062095</v>
      </c>
      <c r="N11" s="9">
        <f t="shared" si="0"/>
        <v>51778706.121747471</v>
      </c>
      <c r="O11" s="9">
        <f t="shared" si="1"/>
        <v>3170510.760259157</v>
      </c>
      <c r="P11" s="9">
        <f t="shared" si="2"/>
        <v>65798.081873493182</v>
      </c>
      <c r="Q11" s="9">
        <f t="shared" si="3"/>
        <v>51120725.303012684</v>
      </c>
      <c r="R11" s="9">
        <f t="shared" si="4"/>
        <v>657980.81873479823</v>
      </c>
    </row>
    <row r="12" spans="1:18" x14ac:dyDescent="0.3">
      <c r="A12" s="6">
        <v>6</v>
      </c>
      <c r="B12" s="6">
        <f>Inputs!$B$25+A12</f>
        <v>71</v>
      </c>
      <c r="C12" s="26">
        <f>MIN(Inputs!$B$28*(1-EXP(-(Inputs!$B$8+Inputs!$B$9*Inputs!$B$10^B12))),1)</f>
        <v>8.2630571302716727E-3</v>
      </c>
      <c r="D12" s="27">
        <f>Inputs!$B$26</f>
        <v>12000</v>
      </c>
      <c r="E12" s="27">
        <f>Inputs!$B$27*(1+Inputs!$B$19)^A12</f>
        <v>107.46470668760999</v>
      </c>
      <c r="F12" s="9">
        <f t="shared" si="5"/>
        <v>289.95304179225718</v>
      </c>
      <c r="G12" s="27">
        <f>E12+(1-C12)*D12*(1/(1+Inputs!$B$6))+(1-C12)*(1/(1+Inputs!$B$6))*G13</f>
        <v>171825.20072613657</v>
      </c>
      <c r="H12" s="26">
        <f>MIN(MAX(C12*(1+Inputs!$B$32),0),1)</f>
        <v>6.6104457042173385E-3</v>
      </c>
      <c r="I12" s="27">
        <f>E12+(1-H12)*D12*(1/(1+Inputs!$B$6))+(1-H12)*(1/(1+Inputs!$B$6))*I13</f>
        <v>182798.38177808051</v>
      </c>
      <c r="J12" s="27">
        <f>E12*(1+Inputs!$B$36)</f>
        <v>118.211177356371</v>
      </c>
      <c r="K12" s="27">
        <f>J12+(1-C12)*D12*(1/(1+Inputs!$B$6))+(1-C12)*(1/(1+Inputs!$B$6))*K13</f>
        <v>172048.10890551537</v>
      </c>
      <c r="L12" s="27">
        <f>(1-C12)*D12*(1/(1+Inputs!$B$6))+(1-C12)*(1/(1+Inputs!$B$6))*L13</f>
        <v>169596.11893234888</v>
      </c>
      <c r="M12" s="27">
        <f>E12+(1-C12)*(1/(1+Inputs!$B$6))*M13</f>
        <v>2229.0817937877227</v>
      </c>
      <c r="N12" s="9">
        <f t="shared" si="0"/>
        <v>49821239.607108451</v>
      </c>
      <c r="O12" s="9">
        <f t="shared" si="1"/>
        <v>3181707.2241483075</v>
      </c>
      <c r="P12" s="9">
        <f t="shared" si="2"/>
        <v>64632.904651259007</v>
      </c>
      <c r="Q12" s="9">
        <f t="shared" si="3"/>
        <v>49174910.560595974</v>
      </c>
      <c r="R12" s="9">
        <f t="shared" si="4"/>
        <v>646329.04651249119</v>
      </c>
    </row>
    <row r="13" spans="1:18" x14ac:dyDescent="0.3">
      <c r="A13" s="6">
        <v>7</v>
      </c>
      <c r="B13" s="6">
        <f>Inputs!$B$25+A13</f>
        <v>72</v>
      </c>
      <c r="C13" s="26">
        <f>MIN(Inputs!$B$28*(1-EXP(-(Inputs!$B$8+Inputs!$B$9*Inputs!$B$10^B13))),1)</f>
        <v>9.261104396760339E-3</v>
      </c>
      <c r="D13" s="27">
        <f>Inputs!$B$26</f>
        <v>12000</v>
      </c>
      <c r="E13" s="27">
        <f>Inputs!$B$27*(1+Inputs!$B$19)^A13</f>
        <v>110.68864788823829</v>
      </c>
      <c r="F13" s="9">
        <f t="shared" si="5"/>
        <v>287.55714324283173</v>
      </c>
      <c r="G13" s="27">
        <f>E13+(1-C13)*D13*(1/(1+Inputs!$B$6))+(1-C13)*(1/(1+Inputs!$B$6))*G14</f>
        <v>166342.92588540333</v>
      </c>
      <c r="H13" s="26">
        <f>MIN(MAX(C13*(1+Inputs!$B$32),0),1)</f>
        <v>7.4088835174082714E-3</v>
      </c>
      <c r="I13" s="27">
        <f>E13+(1-H13)*D13*(1/(1+Inputs!$B$6))+(1-H13)*(1/(1+Inputs!$B$6))*I14</f>
        <v>177423.82046379603</v>
      </c>
      <c r="J13" s="27">
        <f>E13*(1+Inputs!$B$36)</f>
        <v>121.75751267706214</v>
      </c>
      <c r="K13" s="27">
        <f>J13+(1-C13)*D13*(1/(1+Inputs!$B$6))+(1-C13)*(1/(1+Inputs!$B$6))*K14</f>
        <v>166563.27318772222</v>
      </c>
      <c r="L13" s="27">
        <f>(1-C13)*D13*(1/(1+Inputs!$B$6))+(1-C13)*(1/(1+Inputs!$B$6))*L14</f>
        <v>164139.45286221462</v>
      </c>
      <c r="M13" s="27">
        <f>E13+(1-C13)*(1/(1+Inputs!$B$6))*M14</f>
        <v>2203.473023188737</v>
      </c>
      <c r="N13" s="9">
        <f t="shared" si="0"/>
        <v>47833096.566260666</v>
      </c>
      <c r="O13" s="9">
        <f t="shared" si="1"/>
        <v>3186390.3895375887</v>
      </c>
      <c r="P13" s="9">
        <f t="shared" si="2"/>
        <v>63362.440776087446</v>
      </c>
      <c r="Q13" s="9">
        <f t="shared" si="3"/>
        <v>47199472.158499874</v>
      </c>
      <c r="R13" s="9">
        <f t="shared" si="4"/>
        <v>633624.40776079916</v>
      </c>
    </row>
    <row r="14" spans="1:18" x14ac:dyDescent="0.3">
      <c r="A14" s="6">
        <v>8</v>
      </c>
      <c r="B14" s="6">
        <f>Inputs!$B$25+A14</f>
        <v>73</v>
      </c>
      <c r="C14" s="26">
        <f>MIN(Inputs!$B$28*(1-EXP(-(Inputs!$B$8+Inputs!$B$9*Inputs!$B$10^B14))),1)</f>
        <v>1.038130657798611E-2</v>
      </c>
      <c r="D14" s="27">
        <f>Inputs!$B$26</f>
        <v>12000</v>
      </c>
      <c r="E14" s="27">
        <f>Inputs!$B$27*(1+Inputs!$B$19)^A14</f>
        <v>114.00930732488544</v>
      </c>
      <c r="F14" s="9">
        <f t="shared" si="5"/>
        <v>284.8940465192257</v>
      </c>
      <c r="G14" s="27">
        <f>E14+(1-C14)*D14*(1/(1+Inputs!$B$6))+(1-C14)*(1/(1+Inputs!$B$6))*G15</f>
        <v>160819.70569086098</v>
      </c>
      <c r="H14" s="26">
        <f>MIN(MAX(C14*(1+Inputs!$B$32),0),1)</f>
        <v>8.3050452623888889E-3</v>
      </c>
      <c r="I14" s="27">
        <f>E14+(1-H14)*D14*(1/(1+Inputs!$B$6))+(1-H14)*(1/(1+Inputs!$B$6))*I15</f>
        <v>171995.72869196444</v>
      </c>
      <c r="J14" s="27">
        <f>E14*(1+Inputs!$B$36)</f>
        <v>125.410238057374</v>
      </c>
      <c r="K14" s="27">
        <f>J14+(1-C14)*D14*(1/(1+Inputs!$B$6))+(1-C14)*(1/(1+Inputs!$B$6))*K15</f>
        <v>161037.277436164</v>
      </c>
      <c r="L14" s="27">
        <f>(1-C14)*D14*(1/(1+Inputs!$B$6))+(1-C14)*(1/(1+Inputs!$B$6))*L15</f>
        <v>158643.98823783113</v>
      </c>
      <c r="M14" s="27">
        <f>E14+(1-C14)*(1/(1+Inputs!$B$6))*M15</f>
        <v>2175.7174530298767</v>
      </c>
      <c r="N14" s="9">
        <f t="shared" si="0"/>
        <v>45816576.714300334</v>
      </c>
      <c r="O14" s="9">
        <f t="shared" si="1"/>
        <v>3183982.4167763051</v>
      </c>
      <c r="P14" s="9">
        <f t="shared" si="2"/>
        <v>61984.894927628535</v>
      </c>
      <c r="Q14" s="9">
        <f t="shared" si="3"/>
        <v>45196727.765024155</v>
      </c>
      <c r="R14" s="9">
        <f t="shared" si="4"/>
        <v>619848.9492761849</v>
      </c>
    </row>
    <row r="15" spans="1:18" x14ac:dyDescent="0.3">
      <c r="A15" s="6">
        <v>9</v>
      </c>
      <c r="B15" s="6">
        <f>Inputs!$B$25+A15</f>
        <v>74</v>
      </c>
      <c r="C15" s="26">
        <f>MIN(Inputs!$B$28*(1-EXP(-(Inputs!$B$8+Inputs!$B$9*Inputs!$B$10^B15))),1)</f>
        <v>1.1638391782200885E-2</v>
      </c>
      <c r="D15" s="27">
        <f>Inputs!$B$26</f>
        <v>12000</v>
      </c>
      <c r="E15" s="27">
        <f>Inputs!$B$27*(1+Inputs!$B$19)^A15</f>
        <v>117.429586544632</v>
      </c>
      <c r="F15" s="9">
        <f t="shared" si="5"/>
        <v>281.9364740800666</v>
      </c>
      <c r="G15" s="27">
        <f>E15+(1-C15)*D15*(1/(1+Inputs!$B$6))+(1-C15)*(1/(1+Inputs!$B$6))*G16</f>
        <v>155263.27864994638</v>
      </c>
      <c r="H15" s="26">
        <f>MIN(MAX(C15*(1+Inputs!$B$32),0),1)</f>
        <v>9.3107134257607079E-3</v>
      </c>
      <c r="I15" s="27">
        <f>E15+(1-H15)*D15*(1/(1+Inputs!$B$6))+(1-H15)*(1/(1+Inputs!$B$6))*I16</f>
        <v>166520.79424264151</v>
      </c>
      <c r="J15" s="27">
        <f>E15*(1+Inputs!$B$36)</f>
        <v>129.17254519909523</v>
      </c>
      <c r="K15" s="27">
        <f>J15+(1-C15)*D15*(1/(1+Inputs!$B$6))+(1-C15)*(1/(1+Inputs!$B$6))*K16</f>
        <v>155477.86224706229</v>
      </c>
      <c r="L15" s="27">
        <f>(1-C15)*D15*(1/(1+Inputs!$B$6))+(1-C15)*(1/(1+Inputs!$B$6))*L16</f>
        <v>153117.4426787876</v>
      </c>
      <c r="M15" s="27">
        <f>E15+(1-C15)*(1/(1+Inputs!$B$6))*M16</f>
        <v>2145.8359711588109</v>
      </c>
      <c r="N15" s="9">
        <f t="shared" si="0"/>
        <v>43774381.336676769</v>
      </c>
      <c r="O15" s="9">
        <f t="shared" si="1"/>
        <v>3173904.2531058351</v>
      </c>
      <c r="P15" s="9">
        <f t="shared" si="2"/>
        <v>60498.942766277323</v>
      </c>
      <c r="Q15" s="9">
        <f t="shared" si="3"/>
        <v>43169391.909014083</v>
      </c>
      <c r="R15" s="9">
        <f t="shared" si="4"/>
        <v>604989.42766269064</v>
      </c>
    </row>
    <row r="16" spans="1:18" x14ac:dyDescent="0.3">
      <c r="A16" s="6">
        <v>10</v>
      </c>
      <c r="B16" s="6">
        <f>Inputs!$B$25+A16</f>
        <v>75</v>
      </c>
      <c r="C16" s="26">
        <f>MIN(Inputs!$B$28*(1-EXP(-(Inputs!$B$8+Inputs!$B$9*Inputs!$B$10^B16))),1)</f>
        <v>1.3048805307024347E-2</v>
      </c>
      <c r="D16" s="27">
        <f>Inputs!$B$26</f>
        <v>12000</v>
      </c>
      <c r="E16" s="27">
        <f>Inputs!$B$27*(1+Inputs!$B$19)^A16</f>
        <v>120.95247414097096</v>
      </c>
      <c r="F16" s="9">
        <f t="shared" si="5"/>
        <v>278.65518693703046</v>
      </c>
      <c r="G16" s="27">
        <f>E16+(1-C16)*D16*(1/(1+Inputs!$B$6))+(1-C16)*(1/(1+Inputs!$B$6))*G17</f>
        <v>149681.94232417984</v>
      </c>
      <c r="H16" s="26">
        <f>MIN(MAX(C16*(1+Inputs!$B$32),0),1)</f>
        <v>1.0439044245619478E-2</v>
      </c>
      <c r="I16" s="27">
        <f>E16+(1-H16)*D16*(1/(1+Inputs!$B$6))+(1-H16)*(1/(1+Inputs!$B$6))*I17</f>
        <v>161006.27746612453</v>
      </c>
      <c r="J16" s="27">
        <f>E16*(1+Inputs!$B$36)</f>
        <v>133.04772155506808</v>
      </c>
      <c r="K16" s="27">
        <f>J16+(1-C16)*D16*(1/(1+Inputs!$B$6))+(1-C16)*(1/(1+Inputs!$B$6))*K17</f>
        <v>149893.3283754774</v>
      </c>
      <c r="L16" s="27">
        <f>(1-C16)*D16*(1/(1+Inputs!$B$6))+(1-C16)*(1/(1+Inputs!$B$6))*L17</f>
        <v>147568.08181120432</v>
      </c>
      <c r="M16" s="27">
        <f>E16+(1-C16)*(1/(1+Inputs!$B$6))*M17</f>
        <v>2113.8605129755379</v>
      </c>
      <c r="N16" s="9">
        <f t="shared" si="0"/>
        <v>41709649.619442143</v>
      </c>
      <c r="O16" s="9">
        <f t="shared" si="1"/>
        <v>3155584.7259161836</v>
      </c>
      <c r="P16" s="9">
        <f t="shared" si="2"/>
        <v>58903.819640204005</v>
      </c>
      <c r="Q16" s="9">
        <f t="shared" si="3"/>
        <v>41120611.423040144</v>
      </c>
      <c r="R16" s="9">
        <f t="shared" si="4"/>
        <v>589038.19640200562</v>
      </c>
    </row>
    <row r="17" spans="1:18" x14ac:dyDescent="0.3">
      <c r="A17" s="6">
        <v>11</v>
      </c>
      <c r="B17" s="6">
        <f>Inputs!$B$25+A17</f>
        <v>76</v>
      </c>
      <c r="C17" s="26">
        <f>MIN(Inputs!$B$28*(1-EXP(-(Inputs!$B$8+Inputs!$B$9*Inputs!$B$10^B17))),1)</f>
        <v>1.4630894373253128E-2</v>
      </c>
      <c r="D17" s="27">
        <f>Inputs!$B$26</f>
        <v>12000</v>
      </c>
      <c r="E17" s="27">
        <f>Inputs!$B$27*(1+Inputs!$B$19)^A17</f>
        <v>124.58104836520009</v>
      </c>
      <c r="F17" s="9">
        <f t="shared" si="5"/>
        <v>275.01906965489667</v>
      </c>
      <c r="G17" s="27">
        <f>E17+(1-C17)*D17*(1/(1+Inputs!$B$6))+(1-C17)*(1/(1+Inputs!$B$6))*G18</f>
        <v>144084.53627077455</v>
      </c>
      <c r="H17" s="26">
        <f>MIN(MAX(C17*(1+Inputs!$B$32),0),1)</f>
        <v>1.1704715498602504E-2</v>
      </c>
      <c r="I17" s="27">
        <f>E17+(1-H17)*D17*(1/(1+Inputs!$B$6))+(1-H17)*(1/(1+Inputs!$B$6))*I18</f>
        <v>155460.00716591984</v>
      </c>
      <c r="J17" s="27">
        <f>E17*(1+Inputs!$B$36)</f>
        <v>137.0391532017201</v>
      </c>
      <c r="K17" s="27">
        <f>J17+(1-C17)*D17*(1/(1+Inputs!$B$6))+(1-C17)*(1/(1+Inputs!$B$6))*K18</f>
        <v>144292.51973449977</v>
      </c>
      <c r="L17" s="27">
        <f>(1-C17)*D17*(1/(1+Inputs!$B$6))+(1-C17)*(1/(1+Inputs!$B$6))*L18</f>
        <v>142004.70163352267</v>
      </c>
      <c r="M17" s="27">
        <f>E17+(1-C17)*(1/(1+Inputs!$B$6))*M18</f>
        <v>2079.8346372519095</v>
      </c>
      <c r="N17" s="9">
        <f t="shared" si="0"/>
        <v>39625995.11684563</v>
      </c>
      <c r="O17" s="9">
        <f t="shared" si="1"/>
        <v>3128471.4224692127</v>
      </c>
      <c r="P17" s="9">
        <f t="shared" si="2"/>
        <v>57199.418697313129</v>
      </c>
      <c r="Q17" s="9">
        <f t="shared" si="3"/>
        <v>39054000.929872587</v>
      </c>
      <c r="R17" s="9">
        <f t="shared" si="4"/>
        <v>571994.18697304965</v>
      </c>
    </row>
    <row r="18" spans="1:18" x14ac:dyDescent="0.3">
      <c r="A18" s="6">
        <v>12</v>
      </c>
      <c r="B18" s="6">
        <f>Inputs!$B$25+A18</f>
        <v>77</v>
      </c>
      <c r="C18" s="26">
        <f>MIN(Inputs!$B$28*(1-EXP(-(Inputs!$B$8+Inputs!$B$9*Inputs!$B$10^B18))),1)</f>
        <v>1.6405108561564213E-2</v>
      </c>
      <c r="D18" s="27">
        <f>Inputs!$B$26</f>
        <v>12000</v>
      </c>
      <c r="E18" s="27">
        <f>Inputs!$B$27*(1+Inputs!$B$19)^A18</f>
        <v>128.31847981615607</v>
      </c>
      <c r="F18" s="9">
        <f t="shared" si="5"/>
        <v>270.99529469614555</v>
      </c>
      <c r="G18" s="27">
        <f>E18+(1-C18)*D18*(1/(1+Inputs!$B$6))+(1-C18)*(1/(1+Inputs!$B$6))*G19</f>
        <v>138480.41696493875</v>
      </c>
      <c r="H18" s="26">
        <f>MIN(MAX(C18*(1+Inputs!$B$32),0),1)</f>
        <v>1.3124086849251371E-2</v>
      </c>
      <c r="I18" s="27">
        <f>E18+(1-H18)*D18*(1/(1+Inputs!$B$6))+(1-H18)*(1/(1+Inputs!$B$6))*I19</f>
        <v>149890.36961944043</v>
      </c>
      <c r="J18" s="27">
        <f>E18*(1+Inputs!$B$36)</f>
        <v>141.15032779777169</v>
      </c>
      <c r="K18" s="27">
        <f>J18+(1-C18)*D18*(1/(1+Inputs!$B$6))+(1-C18)*(1/(1+Inputs!$B$6))*K19</f>
        <v>138684.79836730397</v>
      </c>
      <c r="L18" s="27">
        <f>(1-C18)*D18*(1/(1+Inputs!$B$6))+(1-C18)*(1/(1+Inputs!$B$6))*L19</f>
        <v>136436.60294128684</v>
      </c>
      <c r="M18" s="27">
        <f>E18+(1-C18)*(1/(1+Inputs!$B$6))*M19</f>
        <v>2043.8140236519357</v>
      </c>
      <c r="N18" s="9">
        <f t="shared" si="0"/>
        <v>37527541.405058689</v>
      </c>
      <c r="O18" s="9">
        <f t="shared" si="1"/>
        <v>3092043.4820757522</v>
      </c>
      <c r="P18" s="9">
        <f t="shared" si="2"/>
        <v>55386.39836437512</v>
      </c>
      <c r="Q18" s="9">
        <f t="shared" si="3"/>
        <v>36973677.421415024</v>
      </c>
      <c r="R18" s="9">
        <f t="shared" si="4"/>
        <v>553863.98364367126</v>
      </c>
    </row>
    <row r="19" spans="1:18" x14ac:dyDescent="0.3">
      <c r="A19" s="6">
        <v>13</v>
      </c>
      <c r="B19" s="6">
        <f>Inputs!$B$25+A19</f>
        <v>78</v>
      </c>
      <c r="C19" s="26">
        <f>MIN(Inputs!$B$28*(1-EXP(-(Inputs!$B$8+Inputs!$B$9*Inputs!$B$10^B19))),1)</f>
        <v>1.8394216093869931E-2</v>
      </c>
      <c r="D19" s="27">
        <f>Inputs!$B$26</f>
        <v>12000</v>
      </c>
      <c r="E19" s="27">
        <f>Inputs!$B$27*(1+Inputs!$B$19)^A19</f>
        <v>132.16803421064074</v>
      </c>
      <c r="F19" s="9">
        <f t="shared" si="5"/>
        <v>266.54958746698219</v>
      </c>
      <c r="G19" s="27">
        <f>E19+(1-C19)*D19*(1/(1+Inputs!$B$6))+(1-C19)*(1/(1+Inputs!$B$6))*G20</f>
        <v>132879.42412071349</v>
      </c>
      <c r="H19" s="26">
        <f>MIN(MAX(C19*(1+Inputs!$B$32),0),1)</f>
        <v>1.4715372875095944E-2</v>
      </c>
      <c r="I19" s="27">
        <f>E19+(1-H19)*D19*(1/(1+Inputs!$B$6))+(1-H19)*(1/(1+Inputs!$B$6))*I20</f>
        <v>144306.28999884205</v>
      </c>
      <c r="J19" s="27">
        <f>E19*(1+Inputs!$B$36)</f>
        <v>145.38483763170484</v>
      </c>
      <c r="K19" s="27">
        <f>J19+(1-C19)*D19*(1/(1+Inputs!$B$6))+(1-C19)*(1/(1+Inputs!$B$6))*K20</f>
        <v>133080.01080811137</v>
      </c>
      <c r="L19" s="27">
        <f>(1-C19)*D19*(1/(1+Inputs!$B$6))+(1-C19)*(1/(1+Inputs!$B$6))*L20</f>
        <v>130873.557246735</v>
      </c>
      <c r="M19" s="27">
        <f>E19+(1-C19)*(1/(1+Inputs!$B$6))*M20</f>
        <v>2005.866873978516</v>
      </c>
      <c r="N19" s="9">
        <f t="shared" si="0"/>
        <v>35418955.682226345</v>
      </c>
      <c r="O19" s="9">
        <f t="shared" si="1"/>
        <v>3045826.3858557036</v>
      </c>
      <c r="P19" s="9">
        <f t="shared" si="2"/>
        <v>53466.29877727374</v>
      </c>
      <c r="Q19" s="9">
        <f t="shared" si="3"/>
        <v>34884292.694453694</v>
      </c>
      <c r="R19" s="9">
        <f t="shared" si="4"/>
        <v>534662.98777265858</v>
      </c>
    </row>
    <row r="20" spans="1:18" x14ac:dyDescent="0.3">
      <c r="A20" s="6">
        <v>14</v>
      </c>
      <c r="B20" s="6">
        <f>Inputs!$B$25+A20</f>
        <v>79</v>
      </c>
      <c r="C20" s="26">
        <f>MIN(Inputs!$B$28*(1-EXP(-(Inputs!$B$8+Inputs!$B$9*Inputs!$B$10^B20))),1)</f>
        <v>2.0623535680934973E-2</v>
      </c>
      <c r="D20" s="27">
        <f>Inputs!$B$26</f>
        <v>12000</v>
      </c>
      <c r="E20" s="27">
        <f>Inputs!$B$27*(1+Inputs!$B$19)^A20</f>
        <v>136.13307523696</v>
      </c>
      <c r="F20" s="9">
        <f t="shared" si="5"/>
        <v>261.64661675538264</v>
      </c>
      <c r="G20" s="27">
        <f>E20+(1-C20)*D20*(1/(1+Inputs!$B$6))+(1-C20)*(1/(1+Inputs!$B$6))*G21</f>
        <v>127291.83793620887</v>
      </c>
      <c r="H20" s="26">
        <f>MIN(MAX(C20*(1+Inputs!$B$32),0),1)</f>
        <v>1.6498828544747979E-2</v>
      </c>
      <c r="I20" s="27">
        <f>E20+(1-H20)*D20*(1/(1+Inputs!$B$6))+(1-H20)*(1/(1+Inputs!$B$6))*I21</f>
        <v>138717.20550121315</v>
      </c>
      <c r="J20" s="27">
        <f>E20*(1+Inputs!$B$36)</f>
        <v>149.74638276065602</v>
      </c>
      <c r="K20" s="27">
        <f>J20+(1-C20)*D20*(1/(1+Inputs!$B$6))+(1-C20)*(1/(1+Inputs!$B$6))*K21</f>
        <v>127488.44535607161</v>
      </c>
      <c r="L20" s="27">
        <f>(1-C20)*D20*(1/(1+Inputs!$B$6))+(1-C20)*(1/(1+Inputs!$B$6))*L21</f>
        <v>125325.76373758187</v>
      </c>
      <c r="M20" s="27">
        <f>E20+(1-C20)*(1/(1+Inputs!$B$6))*M21</f>
        <v>1966.0741986270393</v>
      </c>
      <c r="N20" s="9">
        <f t="shared" si="0"/>
        <v>33305478.73658352</v>
      </c>
      <c r="O20" s="9">
        <f t="shared" si="1"/>
        <v>2989408.768570052</v>
      </c>
      <c r="P20" s="9">
        <f t="shared" si="2"/>
        <v>51441.666236088859</v>
      </c>
      <c r="Q20" s="9">
        <f t="shared" si="3"/>
        <v>32791062.074222714</v>
      </c>
      <c r="R20" s="9">
        <f t="shared" si="4"/>
        <v>514416.66236081498</v>
      </c>
    </row>
    <row r="21" spans="1:18" x14ac:dyDescent="0.3">
      <c r="A21" s="6">
        <v>15</v>
      </c>
      <c r="B21" s="6">
        <f>Inputs!$B$25+A21</f>
        <v>80</v>
      </c>
      <c r="C21" s="26">
        <f>MIN(Inputs!$B$28*(1-EXP(-(Inputs!$B$8+Inputs!$B$9*Inputs!$B$10^B21))),1)</f>
        <v>2.3121183085685754E-2</v>
      </c>
      <c r="D21" s="27">
        <f>Inputs!$B$26</f>
        <v>12000</v>
      </c>
      <c r="E21" s="27">
        <f>Inputs!$B$27*(1+Inputs!$B$19)^A21</f>
        <v>140.2170674940688</v>
      </c>
      <c r="F21" s="9">
        <f t="shared" si="5"/>
        <v>256.25053841893208</v>
      </c>
      <c r="G21" s="27">
        <f>E21+(1-C21)*D21*(1/(1+Inputs!$B$6))+(1-C21)*(1/(1+Inputs!$B$6))*G22</f>
        <v>121728.32692876828</v>
      </c>
      <c r="H21" s="26">
        <f>MIN(MAX(C21*(1+Inputs!$B$32),0),1)</f>
        <v>1.8496946468548603E-2</v>
      </c>
      <c r="I21" s="27">
        <f>E21+(1-H21)*D21*(1/(1+Inputs!$B$6))+(1-H21)*(1/(1+Inputs!$B$6))*I22</f>
        <v>133133.02956980755</v>
      </c>
      <c r="J21" s="27">
        <f>E21*(1+Inputs!$B$36)</f>
        <v>154.23877424347569</v>
      </c>
      <c r="K21" s="27">
        <f>J21+(1-C21)*D21*(1/(1+Inputs!$B$6))+(1-C21)*(1/(1+Inputs!$B$6))*K22</f>
        <v>121920.77992572715</v>
      </c>
      <c r="L21" s="27">
        <f>(1-C21)*D21*(1/(1+Inputs!$B$6))+(1-C21)*(1/(1+Inputs!$B$6))*L22</f>
        <v>119803.79695917969</v>
      </c>
      <c r="M21" s="27">
        <f>E21+(1-C21)*(1/(1+Inputs!$B$6))*M22</f>
        <v>1924.5299695886215</v>
      </c>
      <c r="N21" s="9">
        <f t="shared" si="0"/>
        <v>31192949.316332661</v>
      </c>
      <c r="O21" s="9">
        <f t="shared" si="1"/>
        <v>2922461.1922741299</v>
      </c>
      <c r="P21" s="9">
        <f t="shared" si="2"/>
        <v>49316.184091049232</v>
      </c>
      <c r="Q21" s="9">
        <f t="shared" si="3"/>
        <v>30699787.475422211</v>
      </c>
      <c r="R21" s="9">
        <f t="shared" si="4"/>
        <v>493161.84091045527</v>
      </c>
    </row>
    <row r="22" spans="1:18" x14ac:dyDescent="0.3">
      <c r="A22" s="6">
        <v>16</v>
      </c>
      <c r="B22" s="6">
        <f>Inputs!$B$25+A22</f>
        <v>81</v>
      </c>
      <c r="C22" s="26">
        <f>MIN(Inputs!$B$28*(1-EXP(-(Inputs!$B$8+Inputs!$B$9*Inputs!$B$10^B22))),1)</f>
        <v>2.5918330788419819E-2</v>
      </c>
      <c r="D22" s="27">
        <f>Inputs!$B$26</f>
        <v>12000</v>
      </c>
      <c r="E22" s="27">
        <f>Inputs!$B$27*(1+Inputs!$B$19)^A22</f>
        <v>144.42357951889085</v>
      </c>
      <c r="F22" s="9">
        <f t="shared" si="5"/>
        <v>250.3257228043424</v>
      </c>
      <c r="G22" s="27">
        <f>E22+(1-C22)*D22*(1/(1+Inputs!$B$6))+(1-C22)*(1/(1+Inputs!$B$6))*G23</f>
        <v>116199.88619744772</v>
      </c>
      <c r="H22" s="26">
        <f>MIN(MAX(C22*(1+Inputs!$B$32),0),1)</f>
        <v>2.0734664630735856E-2</v>
      </c>
      <c r="I22" s="27">
        <f>E22+(1-H22)*D22*(1/(1+Inputs!$B$6))+(1-H22)*(1/(1+Inputs!$B$6))*I23</f>
        <v>127564.10668771638</v>
      </c>
      <c r="J22" s="27">
        <f>E22*(1+Inputs!$B$36)</f>
        <v>158.86593747077995</v>
      </c>
      <c r="K22" s="27">
        <f>J22+(1-C22)*D22*(1/(1+Inputs!$B$6))+(1-C22)*(1/(1+Inputs!$B$6))*K23</f>
        <v>116388.02030961556</v>
      </c>
      <c r="L22" s="27">
        <f>(1-C22)*D22*(1/(1+Inputs!$B$6))+(1-C22)*(1/(1+Inputs!$B$6))*L23</f>
        <v>114318.54507576939</v>
      </c>
      <c r="M22" s="27">
        <f>E22+(1-C22)*(1/(1+Inputs!$B$6))*M23</f>
        <v>1881.3411216783438</v>
      </c>
      <c r="N22" s="9">
        <f t="shared" si="0"/>
        <v>29087820.502158429</v>
      </c>
      <c r="O22" s="9">
        <f t="shared" si="1"/>
        <v>2844756.7083344217</v>
      </c>
      <c r="P22" s="9">
        <f t="shared" si="2"/>
        <v>47094.807612568162</v>
      </c>
      <c r="Q22" s="9">
        <f t="shared" si="3"/>
        <v>28616872.42603277</v>
      </c>
      <c r="R22" s="9">
        <f t="shared" si="4"/>
        <v>470948.07612566371</v>
      </c>
    </row>
    <row r="23" spans="1:18" x14ac:dyDescent="0.3">
      <c r="A23" s="6">
        <v>17</v>
      </c>
      <c r="B23" s="6">
        <f>Inputs!$B$25+A23</f>
        <v>82</v>
      </c>
      <c r="C23" s="26">
        <f>MIN(Inputs!$B$28*(1-EXP(-(Inputs!$B$8+Inputs!$B$9*Inputs!$B$10^B23))),1)</f>
        <v>2.9049478139098889E-2</v>
      </c>
      <c r="D23" s="27">
        <f>Inputs!$B$26</f>
        <v>12000</v>
      </c>
      <c r="E23" s="27">
        <f>Inputs!$B$27*(1+Inputs!$B$19)^A23</f>
        <v>148.75628690445757</v>
      </c>
      <c r="F23" s="9">
        <f t="shared" si="5"/>
        <v>243.83769791584916</v>
      </c>
      <c r="G23" s="27">
        <f>E23+(1-C23)*D23*(1/(1+Inputs!$B$6))+(1-C23)*(1/(1+Inputs!$B$6))*G24</f>
        <v>110717.7661532424</v>
      </c>
      <c r="H23" s="26">
        <f>MIN(MAX(C23*(1+Inputs!$B$32),0),1)</f>
        <v>2.3239582511279111E-2</v>
      </c>
      <c r="I23" s="27">
        <f>E23+(1-H23)*D23*(1/(1+Inputs!$B$6))+(1-H23)*(1/(1+Inputs!$B$6))*I24</f>
        <v>122021.15735257207</v>
      </c>
      <c r="J23" s="27">
        <f>E23*(1+Inputs!$B$36)</f>
        <v>163.63191559490335</v>
      </c>
      <c r="K23" s="27">
        <f>J23+(1-C23)*D23*(1/(1+Inputs!$B$6))+(1-C23)*(1/(1+Inputs!$B$6))*K24</f>
        <v>110901.4288916935</v>
      </c>
      <c r="L23" s="27">
        <f>(1-C23)*D23*(1/(1+Inputs!$B$6))+(1-C23)*(1/(1+Inputs!$B$6))*L24</f>
        <v>108881.13876873134</v>
      </c>
      <c r="M23" s="27">
        <f>E23+(1-C23)*(1/(1+Inputs!$B$6))*M24</f>
        <v>1836.6273845110647</v>
      </c>
      <c r="N23" s="9">
        <f t="shared" si="0"/>
        <v>26997165.217191949</v>
      </c>
      <c r="O23" s="9">
        <f t="shared" si="1"/>
        <v>2756192.8886868181</v>
      </c>
      <c r="P23" s="9">
        <f t="shared" si="2"/>
        <v>44783.899336839</v>
      </c>
      <c r="Q23" s="9">
        <f t="shared" si="3"/>
        <v>26549326.223823566</v>
      </c>
      <c r="R23" s="9">
        <f t="shared" si="4"/>
        <v>447838.99336838513</v>
      </c>
    </row>
    <row r="24" spans="1:18" x14ac:dyDescent="0.3">
      <c r="A24" s="6">
        <v>18</v>
      </c>
      <c r="B24" s="6">
        <f>Inputs!$B$25+A24</f>
        <v>83</v>
      </c>
      <c r="C24" s="26">
        <f>MIN(Inputs!$B$28*(1-EXP(-(Inputs!$B$8+Inputs!$B$9*Inputs!$B$10^B24))),1)</f>
        <v>3.2552728087784172E-2</v>
      </c>
      <c r="D24" s="27">
        <f>Inputs!$B$26</f>
        <v>12000</v>
      </c>
      <c r="E24" s="27">
        <f>Inputs!$B$27*(1+Inputs!$B$19)^A24</f>
        <v>153.21897551159128</v>
      </c>
      <c r="F24" s="9">
        <f t="shared" si="5"/>
        <v>236.7543400407545</v>
      </c>
      <c r="G24" s="27">
        <f>E24+(1-C24)*D24*(1/(1+Inputs!$B$6))+(1-C24)*(1/(1+Inputs!$B$6))*G25</f>
        <v>105293.39198876651</v>
      </c>
      <c r="H24" s="26">
        <f>MIN(MAX(C24*(1+Inputs!$B$32),0),1)</f>
        <v>2.604218247022734E-2</v>
      </c>
      <c r="I24" s="27">
        <f>E24+(1-H24)*D24*(1/(1+Inputs!$B$6))+(1-H24)*(1/(1+Inputs!$B$6))*I25</f>
        <v>116515.21299396551</v>
      </c>
      <c r="J24" s="27">
        <f>E24*(1+Inputs!$B$36)</f>
        <v>168.54087306275042</v>
      </c>
      <c r="K24" s="27">
        <f>J24+(1-C24)*D24*(1/(1+Inputs!$B$6))+(1-C24)*(1/(1+Inputs!$B$6))*K25</f>
        <v>105472.4440816788</v>
      </c>
      <c r="L24" s="27">
        <f>(1-C24)*D24*(1/(1+Inputs!$B$6))+(1-C24)*(1/(1+Inputs!$B$6))*L25</f>
        <v>103502.87105964354</v>
      </c>
      <c r="M24" s="27">
        <f>E24+(1-C24)*(1/(1+Inputs!$B$6))*M25</f>
        <v>1790.5209291229619</v>
      </c>
      <c r="N24" s="9">
        <f t="shared" si="0"/>
        <v>24928667.530952882</v>
      </c>
      <c r="O24" s="9">
        <f t="shared" si="1"/>
        <v>2656814.8261413663</v>
      </c>
      <c r="P24" s="9">
        <f t="shared" si="2"/>
        <v>42391.360090364309</v>
      </c>
      <c r="Q24" s="9">
        <f t="shared" si="3"/>
        <v>24504753.930049215</v>
      </c>
      <c r="R24" s="9">
        <f t="shared" si="4"/>
        <v>423913.60090366541</v>
      </c>
    </row>
    <row r="25" spans="1:18" x14ac:dyDescent="0.3">
      <c r="A25" s="6">
        <v>19</v>
      </c>
      <c r="B25" s="6">
        <f>Inputs!$B$25+A25</f>
        <v>84</v>
      </c>
      <c r="C25" s="26">
        <f>MIN(Inputs!$B$28*(1-EXP(-(Inputs!$B$8+Inputs!$B$9*Inputs!$B$10^B25))),1)</f>
        <v>3.6470064932652702E-2</v>
      </c>
      <c r="D25" s="27">
        <f>Inputs!$B$26</f>
        <v>12000</v>
      </c>
      <c r="E25" s="27">
        <f>Inputs!$B$27*(1+Inputs!$B$19)^A25</f>
        <v>157.81554477693902</v>
      </c>
      <c r="F25" s="9">
        <f t="shared" si="5"/>
        <v>229.04734038580503</v>
      </c>
      <c r="G25" s="27">
        <f>E25+(1-C25)*D25*(1/(1+Inputs!$B$6))+(1-C25)*(1/(1+Inputs!$B$6))*G26</f>
        <v>99938.274413242631</v>
      </c>
      <c r="H25" s="26">
        <f>MIN(MAX(C25*(1+Inputs!$B$32),0),1)</f>
        <v>2.9176051946122161E-2</v>
      </c>
      <c r="I25" s="27">
        <f>E25+(1-H25)*D25*(1/(1+Inputs!$B$6))+(1-H25)*(1/(1+Inputs!$B$6))*I26</f>
        <v>111057.5407700794</v>
      </c>
      <c r="J25" s="27">
        <f>E25*(1+Inputs!$B$36)</f>
        <v>173.59709925463292</v>
      </c>
      <c r="K25" s="27">
        <f>J25+(1-C25)*D25*(1/(1+Inputs!$B$6))+(1-C25)*(1/(1+Inputs!$B$6))*K26</f>
        <v>100112.59099474338</v>
      </c>
      <c r="L25" s="27">
        <f>(1-C25)*D25*(1/(1+Inputs!$B$6))+(1-C25)*(1/(1+Inputs!$B$6))*L26</f>
        <v>98195.108598235049</v>
      </c>
      <c r="M25" s="27">
        <f>E25+(1-C25)*(1/(1+Inputs!$B$6))*M26</f>
        <v>1743.1658150075741</v>
      </c>
      <c r="N25" s="9">
        <f t="shared" si="0"/>
        <v>22890595.957099974</v>
      </c>
      <c r="O25" s="9">
        <f t="shared" si="1"/>
        <v>2546838.3860748224</v>
      </c>
      <c r="P25" s="9">
        <f t="shared" si="2"/>
        <v>39926.749377892753</v>
      </c>
      <c r="Q25" s="9">
        <f t="shared" si="3"/>
        <v>22491328.463321034</v>
      </c>
      <c r="R25" s="9">
        <f t="shared" si="4"/>
        <v>399267.49377893907</v>
      </c>
    </row>
    <row r="26" spans="1:18" x14ac:dyDescent="0.3">
      <c r="A26" s="6">
        <v>20</v>
      </c>
      <c r="B26" s="6">
        <f>Inputs!$B$25+A26</f>
        <v>85</v>
      </c>
      <c r="C26" s="26">
        <f>MIN(Inputs!$B$28*(1-EXP(-(Inputs!$B$8+Inputs!$B$9*Inputs!$B$10^B26))),1)</f>
        <v>4.0847625442409857E-2</v>
      </c>
      <c r="D26" s="27">
        <f>Inputs!$B$26</f>
        <v>12000</v>
      </c>
      <c r="E26" s="27">
        <f>Inputs!$B$27*(1+Inputs!$B$19)^A26</f>
        <v>162.55001112024721</v>
      </c>
      <c r="F26" s="9">
        <f t="shared" si="5"/>
        <v>220.69396900928331</v>
      </c>
      <c r="G26" s="27">
        <f>E26+(1-C26)*D26*(1/(1+Inputs!$B$6))+(1-C26)*(1/(1+Inputs!$B$6))*G27</f>
        <v>94663.912447448907</v>
      </c>
      <c r="H26" s="26">
        <f>MIN(MAX(C26*(1+Inputs!$B$32),0),1)</f>
        <v>3.2678100353927889E-2</v>
      </c>
      <c r="I26" s="27">
        <f>E26+(1-H26)*D26*(1/(1+Inputs!$B$6))+(1-H26)*(1/(1+Inputs!$B$6))*I27</f>
        <v>105659.55836899306</v>
      </c>
      <c r="J26" s="27">
        <f>E26*(1+Inputs!$B$36)</f>
        <v>178.80501223227193</v>
      </c>
      <c r="K26" s="27">
        <f>J26+(1-C26)*D26*(1/(1+Inputs!$B$6))+(1-C26)*(1/(1+Inputs!$B$6))*K27</f>
        <v>94833.384170008663</v>
      </c>
      <c r="L26" s="27">
        <f>(1-C26)*D26*(1/(1+Inputs!$B$6))+(1-C26)*(1/(1+Inputs!$B$6))*L27</f>
        <v>92969.195221851318</v>
      </c>
      <c r="M26" s="27">
        <f>E26+(1-C26)*(1/(1+Inputs!$B$6))*M27</f>
        <v>1694.7172255975829</v>
      </c>
      <c r="N26" s="9">
        <f t="shared" si="0"/>
        <v>20891754.559974797</v>
      </c>
      <c r="O26" s="9">
        <f t="shared" si="1"/>
        <v>2426672.7402463187</v>
      </c>
      <c r="P26" s="9">
        <f t="shared" si="2"/>
        <v>37401.387086552655</v>
      </c>
      <c r="Q26" s="9">
        <f t="shared" si="3"/>
        <v>20517740.689109266</v>
      </c>
      <c r="R26" s="9">
        <f t="shared" si="4"/>
        <v>374013.87086553156</v>
      </c>
    </row>
    <row r="27" spans="1:18" x14ac:dyDescent="0.3">
      <c r="A27" s="6">
        <v>21</v>
      </c>
      <c r="B27" s="6">
        <f>Inputs!$B$25+A27</f>
        <v>86</v>
      </c>
      <c r="C27" s="26">
        <f>MIN(Inputs!$B$28*(1-EXP(-(Inputs!$B$8+Inputs!$B$9*Inputs!$B$10^B27))),1)</f>
        <v>4.573595311443665E-2</v>
      </c>
      <c r="D27" s="27">
        <f>Inputs!$B$26</f>
        <v>12000</v>
      </c>
      <c r="E27" s="27">
        <f>Inputs!$B$27*(1+Inputs!$B$19)^A27</f>
        <v>167.42651145385457</v>
      </c>
      <c r="F27" s="9">
        <f t="shared" si="5"/>
        <v>211.67914442579331</v>
      </c>
      <c r="G27" s="27">
        <f>E27+(1-C27)*D27*(1/(1+Inputs!$B$6))+(1-C27)*(1/(1+Inputs!$B$6))*G28</f>
        <v>89481.689345048027</v>
      </c>
      <c r="H27" s="26">
        <f>MIN(MAX(C27*(1+Inputs!$B$32),0),1)</f>
        <v>3.6588762491549319E-2</v>
      </c>
      <c r="I27" s="27">
        <f>E27+(1-H27)*D27*(1/(1+Inputs!$B$6))+(1-H27)*(1/(1+Inputs!$B$6))*I28</f>
        <v>100332.73913096219</v>
      </c>
      <c r="J27" s="27">
        <f>E27*(1+Inputs!$B$36)</f>
        <v>184.16916259924005</v>
      </c>
      <c r="K27" s="27">
        <f>J27+(1-C27)*D27*(1/(1+Inputs!$B$6))+(1-C27)*(1/(1+Inputs!$B$6))*K28</f>
        <v>89646.223393315333</v>
      </c>
      <c r="L27" s="27">
        <f>(1-C27)*D27*(1/(1+Inputs!$B$6))+(1-C27)*(1/(1+Inputs!$B$6))*L28</f>
        <v>87836.3488623749</v>
      </c>
      <c r="M27" s="27">
        <f>E27+(1-C27)*(1/(1+Inputs!$B$6))*M28</f>
        <v>1645.340482673121</v>
      </c>
      <c r="N27" s="9">
        <f t="shared" si="0"/>
        <v>18941407.442334391</v>
      </c>
      <c r="O27" s="9">
        <f t="shared" si="1"/>
        <v>2296940.9348039972</v>
      </c>
      <c r="P27" s="9">
        <f t="shared" si="2"/>
        <v>34828.426566135407</v>
      </c>
      <c r="Q27" s="9">
        <f t="shared" si="3"/>
        <v>18593123.176673021</v>
      </c>
      <c r="R27" s="9">
        <f t="shared" si="4"/>
        <v>348284.26566136803</v>
      </c>
    </row>
    <row r="28" spans="1:18" x14ac:dyDescent="0.3">
      <c r="A28" s="6">
        <v>22</v>
      </c>
      <c r="B28" s="6">
        <f>Inputs!$B$25+A28</f>
        <v>87</v>
      </c>
      <c r="C28" s="26">
        <f>MIN(Inputs!$B$28*(1-EXP(-(Inputs!$B$8+Inputs!$B$9*Inputs!$B$10^B28))),1)</f>
        <v>5.1190222133682239E-2</v>
      </c>
      <c r="D28" s="27">
        <f>Inputs!$B$26</f>
        <v>12000</v>
      </c>
      <c r="E28" s="27">
        <f>Inputs!$B$27*(1+Inputs!$B$19)^A28</f>
        <v>172.44930679747023</v>
      </c>
      <c r="F28" s="9">
        <f t="shared" si="5"/>
        <v>201.99779700103116</v>
      </c>
      <c r="G28" s="27">
        <f>E28+(1-C28)*D28*(1/(1+Inputs!$B$6))+(1-C28)*(1/(1+Inputs!$B$6))*G29</f>
        <v>84402.762965703572</v>
      </c>
      <c r="H28" s="26">
        <f>MIN(MAX(C28*(1+Inputs!$B$32),0),1)</f>
        <v>4.0952177706945793E-2</v>
      </c>
      <c r="I28" s="27">
        <f>E28+(1-H28)*D28*(1/(1+Inputs!$B$6))+(1-H28)*(1/(1+Inputs!$B$6))*I29</f>
        <v>95088.50798222977</v>
      </c>
      <c r="J28" s="27">
        <f>E28*(1+Inputs!$B$36)</f>
        <v>189.69423747721726</v>
      </c>
      <c r="K28" s="27">
        <f>J28+(1-C28)*D28*(1/(1+Inputs!$B$6))+(1-C28)*(1/(1+Inputs!$B$6))*K29</f>
        <v>84562.283948949669</v>
      </c>
      <c r="L28" s="27">
        <f>(1-C28)*D28*(1/(1+Inputs!$B$6))+(1-C28)*(1/(1+Inputs!$B$6))*L29</f>
        <v>82807.553133242589</v>
      </c>
      <c r="M28" s="27">
        <f>E28+(1-C28)*(1/(1+Inputs!$B$6))*M29</f>
        <v>1595.2098324609676</v>
      </c>
      <c r="N28" s="9">
        <f t="shared" si="0"/>
        <v>17049172.179872341</v>
      </c>
      <c r="O28" s="9">
        <f t="shared" si="1"/>
        <v>2158496.9526530392</v>
      </c>
      <c r="P28" s="9">
        <f t="shared" si="2"/>
        <v>32222.88719114997</v>
      </c>
      <c r="Q28" s="9">
        <f t="shared" si="3"/>
        <v>16726943.307960838</v>
      </c>
      <c r="R28" s="9">
        <f t="shared" si="4"/>
        <v>322228.87191149947</v>
      </c>
    </row>
    <row r="29" spans="1:18" x14ac:dyDescent="0.3">
      <c r="A29" s="6">
        <v>23</v>
      </c>
      <c r="B29" s="6">
        <f>Inputs!$B$25+A29</f>
        <v>88</v>
      </c>
      <c r="C29" s="26">
        <f>MIN(Inputs!$B$28*(1-EXP(-(Inputs!$B$8+Inputs!$B$9*Inputs!$B$10^B29))),1)</f>
        <v>5.7270413710139134E-2</v>
      </c>
      <c r="D29" s="27">
        <f>Inputs!$B$26</f>
        <v>12000</v>
      </c>
      <c r="E29" s="27">
        <f>Inputs!$B$27*(1+Inputs!$B$19)^A29</f>
        <v>177.62278600139436</v>
      </c>
      <c r="F29" s="9">
        <f t="shared" si="5"/>
        <v>191.65748490203393</v>
      </c>
      <c r="G29" s="27">
        <f>E29+(1-C29)*D29*(1/(1+Inputs!$B$6))+(1-C29)*(1/(1+Inputs!$B$6))*G30</f>
        <v>79437.952150717509</v>
      </c>
      <c r="H29" s="26">
        <f>MIN(MAX(C29*(1+Inputs!$B$32),0),1)</f>
        <v>4.5816330968111309E-2</v>
      </c>
      <c r="I29" s="27">
        <f>E29+(1-H29)*D29*(1/(1+Inputs!$B$6))+(1-H29)*(1/(1+Inputs!$B$6))*I30</f>
        <v>89938.128801487313</v>
      </c>
      <c r="J29" s="27">
        <f>E29*(1+Inputs!$B$36)</f>
        <v>195.3850646015338</v>
      </c>
      <c r="K29" s="27">
        <f>J29+(1-C29)*D29*(1/(1+Inputs!$B$6))+(1-C29)*(1/(1+Inputs!$B$6))*K30</f>
        <v>79592.402850490966</v>
      </c>
      <c r="L29" s="27">
        <f>(1-C29)*D29*(1/(1+Inputs!$B$6))+(1-C29)*(1/(1+Inputs!$B$6))*L30</f>
        <v>77893.445152983055</v>
      </c>
      <c r="M29" s="27">
        <f>E29+(1-C29)*(1/(1+Inputs!$B$6))*M30</f>
        <v>1544.5069977344556</v>
      </c>
      <c r="N29" s="9">
        <f t="shared" si="0"/>
        <v>15224878.114974635</v>
      </c>
      <c r="O29" s="9">
        <f t="shared" si="1"/>
        <v>2012437.4479136032</v>
      </c>
      <c r="P29" s="9">
        <f t="shared" si="2"/>
        <v>29601.632659939914</v>
      </c>
      <c r="Q29" s="9">
        <f t="shared" si="3"/>
        <v>14928861.788375258</v>
      </c>
      <c r="R29" s="9">
        <f t="shared" si="4"/>
        <v>296016.32659937715</v>
      </c>
    </row>
    <row r="30" spans="1:18" x14ac:dyDescent="0.3">
      <c r="A30" s="6">
        <v>24</v>
      </c>
      <c r="B30" s="6">
        <f>Inputs!$B$25+A30</f>
        <v>89</v>
      </c>
      <c r="C30" s="26">
        <f>MIN(Inputs!$B$28*(1-EXP(-(Inputs!$B$8+Inputs!$B$9*Inputs!$B$10^B30))),1)</f>
        <v>6.4041422809870213E-2</v>
      </c>
      <c r="D30" s="27">
        <f>Inputs!$B$26</f>
        <v>12000</v>
      </c>
      <c r="E30" s="27">
        <f>Inputs!$B$27*(1+Inputs!$B$19)^A30</f>
        <v>182.95146958143616</v>
      </c>
      <c r="F30" s="9">
        <f t="shared" si="5"/>
        <v>180.6811814510497</v>
      </c>
      <c r="G30" s="27">
        <f>E30+(1-C30)*D30*(1/(1+Inputs!$B$6))+(1-C30)*(1/(1+Inputs!$B$6))*G31</f>
        <v>74597.620816109978</v>
      </c>
      <c r="H30" s="26">
        <f>MIN(MAX(C30*(1+Inputs!$B$32),0),1)</f>
        <v>5.1233138247896173E-2</v>
      </c>
      <c r="I30" s="27">
        <f>E30+(1-H30)*D30*(1/(1+Inputs!$B$6))+(1-H30)*(1/(1+Inputs!$B$6))*I31</f>
        <v>84892.583887705085</v>
      </c>
      <c r="J30" s="27">
        <f>E30*(1+Inputs!$B$36)</f>
        <v>201.24661653957978</v>
      </c>
      <c r="K30" s="27">
        <f>J30+(1-C30)*D30*(1/(1+Inputs!$B$6))+(1-C30)*(1/(1+Inputs!$B$6))*K31</f>
        <v>74746.962765122735</v>
      </c>
      <c r="L30" s="27">
        <f>(1-C30)*D30*(1/(1+Inputs!$B$6))+(1-C30)*(1/(1+Inputs!$B$6))*L31</f>
        <v>73104.201325982547</v>
      </c>
      <c r="M30" s="27">
        <f>E30+(1-C30)*(1/(1+Inputs!$B$6))*M31</f>
        <v>1493.4194901274366</v>
      </c>
      <c r="N30" s="9">
        <f t="shared" si="0"/>
        <v>13478386.262492169</v>
      </c>
      <c r="O30" s="9">
        <f t="shared" si="1"/>
        <v>1860106.0907707312</v>
      </c>
      <c r="P30" s="9">
        <f t="shared" si="2"/>
        <v>26983.279787827221</v>
      </c>
      <c r="Q30" s="9">
        <f t="shared" si="3"/>
        <v>13208553.46461392</v>
      </c>
      <c r="R30" s="9">
        <f t="shared" si="4"/>
        <v>269832.79787824949</v>
      </c>
    </row>
    <row r="31" spans="1:18" x14ac:dyDescent="0.3">
      <c r="A31" s="6">
        <v>25</v>
      </c>
      <c r="B31" s="6">
        <f>Inputs!$B$25+A31</f>
        <v>90</v>
      </c>
      <c r="C31" s="26">
        <f>MIN(Inputs!$B$28*(1-EXP(-(Inputs!$B$8+Inputs!$B$9*Inputs!$B$10^B31))),1)</f>
        <v>7.1573067787638084E-2</v>
      </c>
      <c r="D31" s="27">
        <f>Inputs!$B$26</f>
        <v>12000</v>
      </c>
      <c r="E31" s="27">
        <f>Inputs!$B$27*(1+Inputs!$B$19)^A31</f>
        <v>188.44001366887923</v>
      </c>
      <c r="F31" s="9">
        <f t="shared" si="5"/>
        <v>169.11010151595613</v>
      </c>
      <c r="G31" s="27">
        <f>E31+(1-C31)*D31*(1/(1+Inputs!$B$6))+(1-C31)*(1/(1+Inputs!$B$6))*G32</f>
        <v>69891.56154434639</v>
      </c>
      <c r="H31" s="26">
        <f>MIN(MAX(C31*(1+Inputs!$B$32),0),1)</f>
        <v>5.7258454230110473E-2</v>
      </c>
      <c r="I31" s="27">
        <f>E31+(1-H31)*D31*(1/(1+Inputs!$B$6))+(1-H31)*(1/(1+Inputs!$B$6))*I32</f>
        <v>79962.446105610812</v>
      </c>
      <c r="J31" s="27">
        <f>E31*(1+Inputs!$B$36)</f>
        <v>207.28401503576717</v>
      </c>
      <c r="K31" s="27">
        <f>J31+(1-C31)*D31*(1/(1+Inputs!$B$6))+(1-C31)*(1/(1+Inputs!$B$6))*K32</f>
        <v>70035.775411718045</v>
      </c>
      <c r="L31" s="27">
        <f>(1-C31)*D31*(1/(1+Inputs!$B$6))+(1-C31)*(1/(1+Inputs!$B$6))*L32</f>
        <v>68449.422870630078</v>
      </c>
      <c r="M31" s="27">
        <f>E31+(1-C31)*(1/(1+Inputs!$B$6))*M32</f>
        <v>1442.1386737163123</v>
      </c>
      <c r="N31" s="9">
        <f t="shared" si="0"/>
        <v>11819369.067873113</v>
      </c>
      <c r="O31" s="9">
        <f t="shared" si="1"/>
        <v>1703088.3105109017</v>
      </c>
      <c r="P31" s="9">
        <f t="shared" si="2"/>
        <v>24388.021751229124</v>
      </c>
      <c r="Q31" s="9">
        <f t="shared" si="3"/>
        <v>11575488.850360861</v>
      </c>
      <c r="R31" s="9">
        <f t="shared" si="4"/>
        <v>243880.2175122519</v>
      </c>
    </row>
    <row r="32" spans="1:18" x14ac:dyDescent="0.3">
      <c r="A32" s="6">
        <v>26</v>
      </c>
      <c r="B32" s="6">
        <f>Inputs!$B$25+A32</f>
        <v>91</v>
      </c>
      <c r="C32" s="26">
        <f>MIN(Inputs!$B$28*(1-EXP(-(Inputs!$B$8+Inputs!$B$9*Inputs!$B$10^B32))),1)</f>
        <v>7.9939969043392928E-2</v>
      </c>
      <c r="D32" s="27">
        <f>Inputs!$B$26</f>
        <v>12000</v>
      </c>
      <c r="E32" s="27">
        <f>Inputs!$B$27*(1+Inputs!$B$19)^A32</f>
        <v>194.09321407894566</v>
      </c>
      <c r="F32" s="9">
        <f t="shared" si="5"/>
        <v>157.00637275658025</v>
      </c>
      <c r="G32" s="27">
        <f>E32+(1-C32)*D32*(1/(1+Inputs!$B$6))+(1-C32)*(1/(1+Inputs!$B$6))*G33</f>
        <v>65328.880373513472</v>
      </c>
      <c r="H32" s="26">
        <f>MIN(MAX(C32*(1+Inputs!$B$32),0),1)</f>
        <v>6.3951975234714339E-2</v>
      </c>
      <c r="I32" s="27">
        <f>E32+(1-H32)*D32*(1/(1+Inputs!$B$6))+(1-H32)*(1/(1+Inputs!$B$6))*I33</f>
        <v>75157.743968521463</v>
      </c>
      <c r="J32" s="27">
        <f>E32*(1+Inputs!$B$36)</f>
        <v>213.50253548684026</v>
      </c>
      <c r="K32" s="27">
        <f>J32+(1-C32)*D32*(1/(1+Inputs!$B$6))+(1-C32)*(1/(1+Inputs!$B$6))*K33</f>
        <v>65467.966129758381</v>
      </c>
      <c r="L32" s="27">
        <f>(1-C32)*D32*(1/(1+Inputs!$B$6))+(1-C32)*(1/(1+Inputs!$B$6))*L33</f>
        <v>63938.022811064511</v>
      </c>
      <c r="M32" s="27">
        <f>E32+(1-C32)*(1/(1+Inputs!$B$6))*M33</f>
        <v>1390.8575624489649</v>
      </c>
      <c r="N32" s="9">
        <f t="shared" si="0"/>
        <v>10257050.543693896</v>
      </c>
      <c r="O32" s="9">
        <f t="shared" si="1"/>
        <v>1543194.2213714062</v>
      </c>
      <c r="P32" s="9">
        <f t="shared" si="2"/>
        <v>21837.350090119064</v>
      </c>
      <c r="Q32" s="9">
        <f t="shared" si="3"/>
        <v>10038677.042792726</v>
      </c>
      <c r="R32" s="9">
        <f t="shared" si="4"/>
        <v>218373.50090117077</v>
      </c>
    </row>
    <row r="33" spans="1:18" x14ac:dyDescent="0.3">
      <c r="A33" s="6">
        <v>27</v>
      </c>
      <c r="B33" s="6">
        <f>Inputs!$B$25+A33</f>
        <v>92</v>
      </c>
      <c r="C33" s="26">
        <f>MIN(Inputs!$B$28*(1-EXP(-(Inputs!$B$8+Inputs!$B$9*Inputs!$B$10^B33))),1)</f>
        <v>8.9221255583708137E-2</v>
      </c>
      <c r="D33" s="27">
        <f>Inputs!$B$26</f>
        <v>12000</v>
      </c>
      <c r="E33" s="27">
        <f>Inputs!$B$27*(1+Inputs!$B$19)^A33</f>
        <v>199.91601050131399</v>
      </c>
      <c r="F33" s="9">
        <f t="shared" si="5"/>
        <v>144.45528817880381</v>
      </c>
      <c r="G33" s="27">
        <f>E33+(1-C33)*D33*(1/(1+Inputs!$B$6))+(1-C33)*(1/(1+Inputs!$B$6))*G34</f>
        <v>60917.884178126726</v>
      </c>
      <c r="H33" s="26">
        <f>MIN(MAX(C33*(1+Inputs!$B$32),0),1)</f>
        <v>7.1377004466966515E-2</v>
      </c>
      <c r="I33" s="27">
        <f>E33+(1-H33)*D33*(1/(1+Inputs!$B$6))+(1-H33)*(1/(1+Inputs!$B$6))*I34</f>
        <v>70487.819250980057</v>
      </c>
      <c r="J33" s="27">
        <f>E33*(1+Inputs!$B$36)</f>
        <v>219.9076115514454</v>
      </c>
      <c r="K33" s="27">
        <f>J33+(1-C33)*D33*(1/(1+Inputs!$B$6))+(1-C33)*(1/(1+Inputs!$B$6))*K34</f>
        <v>61051.861009784072</v>
      </c>
      <c r="L33" s="27">
        <f>(1-C33)*D33*(1/(1+Inputs!$B$6))+(1-C33)*(1/(1+Inputs!$B$6))*L34</f>
        <v>59578.115861553422</v>
      </c>
      <c r="M33" s="27">
        <f>E33+(1-C33)*(1/(1+Inputs!$B$6))*M34</f>
        <v>1339.7683165733088</v>
      </c>
      <c r="N33" s="9">
        <f t="shared" si="0"/>
        <v>8799910.5141942892</v>
      </c>
      <c r="O33" s="9">
        <f t="shared" si="1"/>
        <v>1382427.7288014698</v>
      </c>
      <c r="P33" s="9">
        <f t="shared" si="2"/>
        <v>19353.661826345051</v>
      </c>
      <c r="Q33" s="9">
        <f t="shared" si="3"/>
        <v>8606373.8959308621</v>
      </c>
      <c r="R33" s="9">
        <f t="shared" si="4"/>
        <v>193536.61826342819</v>
      </c>
    </row>
    <row r="34" spans="1:18" x14ac:dyDescent="0.3">
      <c r="A34" s="6">
        <v>28</v>
      </c>
      <c r="B34" s="6">
        <f>Inputs!$B$25+A34</f>
        <v>93</v>
      </c>
      <c r="C34" s="26">
        <f>MIN(Inputs!$B$28*(1-EXP(-(Inputs!$B$8+Inputs!$B$9*Inputs!$B$10^B34))),1)</f>
        <v>9.9500050389188188E-2</v>
      </c>
      <c r="D34" s="27">
        <f>Inputs!$B$26</f>
        <v>12000</v>
      </c>
      <c r="E34" s="27">
        <f>Inputs!$B$27*(1+Inputs!$B$19)^A34</f>
        <v>205.91349081635343</v>
      </c>
      <c r="F34" s="9">
        <f t="shared" si="5"/>
        <v>131.56680599178455</v>
      </c>
      <c r="G34" s="27">
        <f>E34+(1-C34)*D34*(1/(1+Inputs!$B$6))+(1-C34)*(1/(1+Inputs!$B$6))*G35</f>
        <v>56665.97139652734</v>
      </c>
      <c r="H34" s="26">
        <f>MIN(MAX(C34*(1+Inputs!$B$32),0),1)</f>
        <v>7.9600040311350553E-2</v>
      </c>
      <c r="I34" s="27">
        <f>E34+(1-H34)*D34*(1/(1+Inputs!$B$6))+(1-H34)*(1/(1+Inputs!$B$6))*I35</f>
        <v>65961.175510344954</v>
      </c>
      <c r="J34" s="27">
        <f>E34*(1+Inputs!$B$36)</f>
        <v>226.5048398979888</v>
      </c>
      <c r="K34" s="27">
        <f>J34+(1-C34)*D34*(1/(1+Inputs!$B$6))+(1-C34)*(1/(1+Inputs!$B$6))*K35</f>
        <v>56794.877333611621</v>
      </c>
      <c r="L34" s="27">
        <f>(1-C34)*D34*(1/(1+Inputs!$B$6))+(1-C34)*(1/(1+Inputs!$B$6))*L35</f>
        <v>55376.912025684651</v>
      </c>
      <c r="M34" s="27">
        <f>E34+(1-C34)*(1/(1+Inputs!$B$6))*M35</f>
        <v>1289.0593708426836</v>
      </c>
      <c r="N34" s="9">
        <f t="shared" si="0"/>
        <v>7455360.865062925</v>
      </c>
      <c r="O34" s="9">
        <f t="shared" si="1"/>
        <v>1222940.3162966797</v>
      </c>
      <c r="P34" s="9">
        <f t="shared" si="2"/>
        <v>16959.742415556731</v>
      </c>
      <c r="Q34" s="9">
        <f t="shared" si="3"/>
        <v>7285763.4409073731</v>
      </c>
      <c r="R34" s="9">
        <f t="shared" si="4"/>
        <v>169597.42415555121</v>
      </c>
    </row>
    <row r="35" spans="1:18" x14ac:dyDescent="0.3">
      <c r="A35" s="6">
        <v>29</v>
      </c>
      <c r="B35" s="6">
        <f>Inputs!$B$25+A35</f>
        <v>94</v>
      </c>
      <c r="C35" s="26">
        <f>MIN(Inputs!$B$28*(1-EXP(-(Inputs!$B$8+Inputs!$B$9*Inputs!$B$10^B35))),1)</f>
        <v>0.11086267702636077</v>
      </c>
      <c r="D35" s="27">
        <f>Inputs!$B$26</f>
        <v>12000</v>
      </c>
      <c r="E35" s="27">
        <f>Inputs!$B$27*(1+Inputs!$B$19)^A35</f>
        <v>212.090895540844</v>
      </c>
      <c r="F35" s="9">
        <f t="shared" si="5"/>
        <v>118.47590216605744</v>
      </c>
      <c r="G35" s="27">
        <f>E35+(1-C35)*D35*(1/(1+Inputs!$B$6))+(1-C35)*(1/(1+Inputs!$B$6))*G36</f>
        <v>52579.525704599881</v>
      </c>
      <c r="H35" s="26">
        <f>MIN(MAX(C35*(1+Inputs!$B$32),0),1)</f>
        <v>8.8690141621088625E-2</v>
      </c>
      <c r="I35" s="27">
        <f>E35+(1-H35)*D35*(1/(1+Inputs!$B$6))+(1-H35)*(1/(1+Inputs!$B$6))*I36</f>
        <v>61585.313827072845</v>
      </c>
      <c r="J35" s="27">
        <f>E35*(1+Inputs!$B$36)</f>
        <v>233.29998509492842</v>
      </c>
      <c r="K35" s="27">
        <f>J35+(1-C35)*D35*(1/(1+Inputs!$B$6))+(1-C35)*(1/(1+Inputs!$B$6))*K36</f>
        <v>52703.416911579887</v>
      </c>
      <c r="L35" s="27">
        <f>(1-C35)*D35*(1/(1+Inputs!$B$6))+(1-C35)*(1/(1+Inputs!$B$6))*L36</f>
        <v>51340.613634799884</v>
      </c>
      <c r="M35" s="27">
        <f>E35+(1-C35)*(1/(1+Inputs!$B$6))*M36</f>
        <v>1238.9120697999929</v>
      </c>
      <c r="N35" s="9">
        <f t="shared" si="0"/>
        <v>6229406.7433158774</v>
      </c>
      <c r="O35" s="9">
        <f t="shared" si="1"/>
        <v>1066968.872526349</v>
      </c>
      <c r="P35" s="9">
        <f t="shared" si="2"/>
        <v>14678.122517397993</v>
      </c>
      <c r="Q35" s="9">
        <f t="shared" si="3"/>
        <v>6082625.5181419058</v>
      </c>
      <c r="R35" s="9">
        <f t="shared" si="4"/>
        <v>146781.22517397167</v>
      </c>
    </row>
    <row r="36" spans="1:18" x14ac:dyDescent="0.3">
      <c r="A36" s="6">
        <v>30</v>
      </c>
      <c r="B36" s="6">
        <f>Inputs!$B$25+A36</f>
        <v>95</v>
      </c>
      <c r="C36" s="26">
        <f>MIN(Inputs!$B$28*(1-EXP(-(Inputs!$B$8+Inputs!$B$9*Inputs!$B$10^B36))),1)</f>
        <v>0.12339752145565006</v>
      </c>
      <c r="D36" s="27">
        <f>Inputs!$B$26</f>
        <v>12000</v>
      </c>
      <c r="E36" s="27">
        <f>Inputs!$B$27*(1+Inputs!$B$19)^A36</f>
        <v>218.45362240706933</v>
      </c>
      <c r="F36" s="9">
        <f t="shared" si="5"/>
        <v>105.34134648881509</v>
      </c>
      <c r="G36" s="27">
        <f>E36+(1-C36)*D36*(1/(1+Inputs!$B$6))+(1-C36)*(1/(1+Inputs!$B$6))*G37</f>
        <v>48663.810257046149</v>
      </c>
      <c r="H36" s="26">
        <f>MIN(MAX(C36*(1+Inputs!$B$32),0),1)</f>
        <v>9.8718017164520055E-2</v>
      </c>
      <c r="I36" s="27">
        <f>E36+(1-H36)*D36*(1/(1+Inputs!$B$6))+(1-H36)*(1/(1+Inputs!$B$6))*I37</f>
        <v>57366.548642332564</v>
      </c>
      <c r="J36" s="27">
        <f>E36*(1+Inputs!$B$36)</f>
        <v>240.29898464777628</v>
      </c>
      <c r="K36" s="27">
        <f>J36+(1-C36)*D36*(1/(1+Inputs!$B$6))+(1-C36)*(1/(1+Inputs!$B$6))*K37</f>
        <v>48782.75991557019</v>
      </c>
      <c r="L36" s="27">
        <f>(1-C36)*D36*(1/(1+Inputs!$B$6))+(1-C36)*(1/(1+Inputs!$B$6))*L37</f>
        <v>47474.313671805758</v>
      </c>
      <c r="M36" s="27">
        <f>E36+(1-C36)*(1/(1+Inputs!$B$6))*M37</f>
        <v>1189.4965852403875</v>
      </c>
      <c r="N36" s="9">
        <f t="shared" si="0"/>
        <v>5126311.2977534523</v>
      </c>
      <c r="O36" s="9">
        <f t="shared" si="1"/>
        <v>916758.17964596744</v>
      </c>
      <c r="P36" s="9">
        <f t="shared" si="2"/>
        <v>12530.317193307272</v>
      </c>
      <c r="Q36" s="9">
        <f t="shared" si="3"/>
        <v>5001008.1258203816</v>
      </c>
      <c r="R36" s="9">
        <f t="shared" si="4"/>
        <v>125303.17193307003</v>
      </c>
    </row>
    <row r="37" spans="1:18" x14ac:dyDescent="0.3">
      <c r="A37" s="6">
        <v>31</v>
      </c>
      <c r="B37" s="6">
        <f>Inputs!$B$25+A37</f>
        <v>96</v>
      </c>
      <c r="C37" s="26">
        <f>MIN(Inputs!$B$28*(1-EXP(-(Inputs!$B$8+Inputs!$B$9*Inputs!$B$10^B37))),1)</f>
        <v>0.13719347521298286</v>
      </c>
      <c r="D37" s="27">
        <f>Inputs!$B$26</f>
        <v>12000</v>
      </c>
      <c r="E37" s="27">
        <f>Inputs!$B$27*(1+Inputs!$B$19)^A37</f>
        <v>225.00723107928144</v>
      </c>
      <c r="F37" s="9">
        <f t="shared" si="5"/>
        <v>92.342485425294456</v>
      </c>
      <c r="G37" s="27">
        <f>E37+(1-C37)*D37*(1/(1+Inputs!$B$6))+(1-C37)*(1/(1+Inputs!$B$6))*G38</f>
        <v>44922.856773731706</v>
      </c>
      <c r="H37" s="26">
        <f>MIN(MAX(C37*(1+Inputs!$B$32),0),1)</f>
        <v>0.1097547801703863</v>
      </c>
      <c r="I37" s="27">
        <f>E37+(1-H37)*D37*(1/(1+Inputs!$B$6))+(1-H37)*(1/(1+Inputs!$B$6))*I38</f>
        <v>53309.790932842858</v>
      </c>
      <c r="J37" s="27">
        <f>E37*(1+Inputs!$B$36)</f>
        <v>247.50795418720961</v>
      </c>
      <c r="K37" s="27">
        <f>J37+(1-C37)*D37*(1/(1+Inputs!$B$6))+(1-C37)*(1/(1+Inputs!$B$6))*K38</f>
        <v>45036.953445392865</v>
      </c>
      <c r="L37" s="27">
        <f>(1-C37)*D37*(1/(1+Inputs!$B$6))+(1-C37)*(1/(1+Inputs!$B$6))*L38</f>
        <v>43781.89005712013</v>
      </c>
      <c r="M37" s="27">
        <f>E37+(1-C37)*(1/(1+Inputs!$B$6))*M38</f>
        <v>1140.9667166115776</v>
      </c>
      <c r="N37" s="9">
        <f t="shared" si="0"/>
        <v>4148288.2468909104</v>
      </c>
      <c r="O37" s="9">
        <f t="shared" si="1"/>
        <v>774470.34535062569</v>
      </c>
      <c r="P37" s="9">
        <f t="shared" si="2"/>
        <v>10535.97023994512</v>
      </c>
      <c r="Q37" s="9">
        <f t="shared" si="3"/>
        <v>4042928.5444914601</v>
      </c>
      <c r="R37" s="9">
        <f t="shared" si="4"/>
        <v>105359.70239945067</v>
      </c>
    </row>
    <row r="38" spans="1:18" x14ac:dyDescent="0.3">
      <c r="A38" s="6">
        <v>32</v>
      </c>
      <c r="B38" s="6">
        <f>Inputs!$B$25+A38</f>
        <v>97</v>
      </c>
      <c r="C38" s="26">
        <f>MIN(Inputs!$B$28*(1-EXP(-(Inputs!$B$8+Inputs!$B$9*Inputs!$B$10^B38))),1)</f>
        <v>0.1523378801913422</v>
      </c>
      <c r="D38" s="27">
        <f>Inputs!$B$26</f>
        <v>12000</v>
      </c>
      <c r="E38" s="27">
        <f>Inputs!$B$27*(1+Inputs!$B$19)^A38</f>
        <v>231.75744801165985</v>
      </c>
      <c r="F38" s="9">
        <f t="shared" si="5"/>
        <v>79.673698939994082</v>
      </c>
      <c r="G38" s="27">
        <f>E38+(1-C38)*D38*(1/(1+Inputs!$B$6))+(1-C38)*(1/(1+Inputs!$B$6))*G39</f>
        <v>41359.338051246916</v>
      </c>
      <c r="H38" s="26">
        <f>MIN(MAX(C38*(1+Inputs!$B$32),0),1)</f>
        <v>0.12187030415307376</v>
      </c>
      <c r="I38" s="27">
        <f>E38+(1-H38)*D38*(1/(1+Inputs!$B$6))+(1-H38)*(1/(1+Inputs!$B$6))*I39</f>
        <v>49418.276666828184</v>
      </c>
      <c r="J38" s="27">
        <f>E38*(1+Inputs!$B$36)</f>
        <v>254.93319281282587</v>
      </c>
      <c r="K38" s="27">
        <f>J38+(1-C38)*D38*(1/(1+Inputs!$B$6))+(1-C38)*(1/(1+Inputs!$B$6))*K39</f>
        <v>41468.683338167546</v>
      </c>
      <c r="L38" s="27">
        <f>(1-C38)*D38*(1/(1+Inputs!$B$6))+(1-C38)*(1/(1+Inputs!$B$6))*L39</f>
        <v>40265.885182040634</v>
      </c>
      <c r="M38" s="27">
        <f>E38+(1-C38)*(1/(1+Inputs!$B$6))*M39</f>
        <v>1093.4528692062822</v>
      </c>
      <c r="N38" s="9">
        <f t="shared" si="0"/>
        <v>3295251.4482524884</v>
      </c>
      <c r="O38" s="9">
        <f t="shared" si="1"/>
        <v>642085.44903371471</v>
      </c>
      <c r="P38" s="9">
        <f t="shared" si="2"/>
        <v>8711.9434706215725</v>
      </c>
      <c r="Q38" s="9">
        <f t="shared" si="3"/>
        <v>3208132.0135462745</v>
      </c>
      <c r="R38" s="9">
        <f t="shared" si="4"/>
        <v>87119.434706214059</v>
      </c>
    </row>
    <row r="39" spans="1:18" x14ac:dyDescent="0.3">
      <c r="A39" s="6">
        <v>33</v>
      </c>
      <c r="B39" s="6">
        <f>Inputs!$B$25+A39</f>
        <v>98</v>
      </c>
      <c r="C39" s="26">
        <f>MIN(Inputs!$B$28*(1-EXP(-(Inputs!$B$8+Inputs!$B$9*Inputs!$B$10^B39))),1)</f>
        <v>0.16891389270812612</v>
      </c>
      <c r="D39" s="27">
        <f>Inputs!$B$26</f>
        <v>12000</v>
      </c>
      <c r="E39" s="27">
        <f>Inputs!$B$27*(1+Inputs!$B$19)^A39</f>
        <v>238.71017145200963</v>
      </c>
      <c r="F39" s="9">
        <f t="shared" si="5"/>
        <v>67.53637653647219</v>
      </c>
      <c r="G39" s="27">
        <f>E39+(1-C39)*D39*(1/(1+Inputs!$B$6))+(1-C39)*(1/(1+Inputs!$B$6))*G40</f>
        <v>37974.402573155596</v>
      </c>
      <c r="H39" s="26">
        <f>MIN(MAX(C39*(1+Inputs!$B$32),0),1)</f>
        <v>0.13513111416650089</v>
      </c>
      <c r="I39" s="27">
        <f>E39+(1-H39)*D39*(1/(1+Inputs!$B$6))+(1-H39)*(1/(1+Inputs!$B$6))*I40</f>
        <v>45693.20299152295</v>
      </c>
      <c r="J39" s="27">
        <f>E39*(1+Inputs!$B$36)</f>
        <v>262.5811885972106</v>
      </c>
      <c r="K39" s="27">
        <f>J39+(1-C39)*D39*(1/(1+Inputs!$B$6))+(1-C39)*(1/(1+Inputs!$B$6))*K40</f>
        <v>38079.107769139911</v>
      </c>
      <c r="L39" s="27">
        <f>(1-C39)*D39*(1/(1+Inputs!$B$6))+(1-C39)*(1/(1+Inputs!$B$6))*L40</f>
        <v>36927.350613312432</v>
      </c>
      <c r="M39" s="27">
        <f>E39+(1-C39)*(1/(1+Inputs!$B$6))*M40</f>
        <v>1047.0519598431581</v>
      </c>
      <c r="N39" s="9">
        <f t="shared" si="0"/>
        <v>2564653.5509282146</v>
      </c>
      <c r="O39" s="9">
        <f t="shared" si="1"/>
        <v>521299.81146473676</v>
      </c>
      <c r="P39" s="9">
        <f t="shared" si="2"/>
        <v>7071.4095413218574</v>
      </c>
      <c r="Q39" s="9">
        <f t="shared" si="3"/>
        <v>2493939.4555149958</v>
      </c>
      <c r="R39" s="9">
        <f t="shared" si="4"/>
        <v>70714.095413218689</v>
      </c>
    </row>
    <row r="40" spans="1:18" x14ac:dyDescent="0.3">
      <c r="A40" s="6">
        <v>34</v>
      </c>
      <c r="B40" s="6">
        <f>Inputs!$B$25+A40</f>
        <v>99</v>
      </c>
      <c r="C40" s="26">
        <f>MIN(Inputs!$B$28*(1-EXP(-(Inputs!$B$8+Inputs!$B$9*Inputs!$B$10^B40))),1)</f>
        <v>0.18699718758806139</v>
      </c>
      <c r="D40" s="27">
        <f>Inputs!$B$26</f>
        <v>12000</v>
      </c>
      <c r="E40" s="27">
        <f>Inputs!$B$27*(1+Inputs!$B$19)^A40</f>
        <v>245.8714765955699</v>
      </c>
      <c r="F40" s="9">
        <f t="shared" si="5"/>
        <v>56.128544276294917</v>
      </c>
      <c r="G40" s="27">
        <f>E40+(1-C40)*D40*(1/(1+Inputs!$B$6))+(1-C40)*(1/(1+Inputs!$B$6))*G41</f>
        <v>34767.432198339593</v>
      </c>
      <c r="H40" s="26">
        <f>MIN(MAX(C40*(1+Inputs!$B$32),0),1)</f>
        <v>0.14959775007044912</v>
      </c>
      <c r="I40" s="27">
        <f>E40+(1-H40)*D40*(1/(1+Inputs!$B$6))+(1-H40)*(1/(1+Inputs!$B$6))*I41</f>
        <v>42133.208364355814</v>
      </c>
      <c r="J40" s="27">
        <f>E40*(1+Inputs!$B$36)</f>
        <v>270.45862425512689</v>
      </c>
      <c r="K40" s="27">
        <f>J40+(1-C40)*D40*(1/(1+Inputs!$B$6))+(1-C40)*(1/(1+Inputs!$B$6))*K41</f>
        <v>34867.61339914873</v>
      </c>
      <c r="L40" s="27">
        <f>(1-C40)*D40*(1/(1+Inputs!$B$6))+(1-C40)*(1/(1+Inputs!$B$6))*L41</f>
        <v>33765.620190248257</v>
      </c>
      <c r="M40" s="27">
        <f>E40+(1-C40)*(1/(1+Inputs!$B$6))*M41</f>
        <v>1001.8120080913352</v>
      </c>
      <c r="N40" s="9">
        <f t="shared" si="0"/>
        <v>1951445.3575175854</v>
      </c>
      <c r="O40" s="9">
        <f t="shared" si="1"/>
        <v>413430.29366351932</v>
      </c>
      <c r="P40" s="9">
        <f t="shared" si="2"/>
        <v>5623.0249652680104</v>
      </c>
      <c r="Q40" s="9">
        <f t="shared" si="3"/>
        <v>1895215.107864907</v>
      </c>
      <c r="R40" s="9">
        <f t="shared" si="4"/>
        <v>56230.249652678431</v>
      </c>
    </row>
    <row r="41" spans="1:18" x14ac:dyDescent="0.3">
      <c r="A41" s="6">
        <v>35</v>
      </c>
      <c r="B41" s="6">
        <f>Inputs!$B$25+A41</f>
        <v>100</v>
      </c>
      <c r="C41" s="26">
        <f>MIN(Inputs!$B$28*(1-EXP(-(Inputs!$B$8+Inputs!$B$9*Inputs!$B$10^B41))),1)</f>
        <v>0.20665193446956834</v>
      </c>
      <c r="D41" s="27">
        <f>Inputs!$B$26</f>
        <v>12000</v>
      </c>
      <c r="E41" s="27">
        <f>Inputs!$B$27*(1+Inputs!$B$19)^A41</f>
        <v>253.24762089343702</v>
      </c>
      <c r="F41" s="9">
        <f t="shared" si="5"/>
        <v>45.632664353215787</v>
      </c>
      <c r="G41" s="27">
        <f>E41+(1-C41)*D41*(1/(1+Inputs!$B$6))+(1-C41)*(1/(1+Inputs!$B$6))*G42</f>
        <v>31735.651341609308</v>
      </c>
      <c r="H41" s="26">
        <f>MIN(MAX(C41*(1+Inputs!$B$32),0),1)</f>
        <v>0.16532154757565468</v>
      </c>
      <c r="I41" s="27">
        <f>E41+(1-H41)*D41*(1/(1+Inputs!$B$6))+(1-H41)*(1/(1+Inputs!$B$6))*I42</f>
        <v>38733.58754397367</v>
      </c>
      <c r="J41" s="27">
        <f>E41*(1+Inputs!$B$36)</f>
        <v>278.57238298278077</v>
      </c>
      <c r="K41" s="27">
        <f>J41+(1-C41)*D41*(1/(1+Inputs!$B$6))+(1-C41)*(1/(1+Inputs!$B$6))*K42</f>
        <v>31831.42207395532</v>
      </c>
      <c r="L41" s="27">
        <f>(1-C41)*D41*(1/(1+Inputs!$B$6))+(1-C41)*(1/(1+Inputs!$B$6))*L42</f>
        <v>30777.944018149123</v>
      </c>
      <c r="M41" s="27">
        <f>E41+(1-C41)*(1/(1+Inputs!$B$6))*M42</f>
        <v>957.70732346018201</v>
      </c>
      <c r="N41" s="9">
        <f t="shared" si="0"/>
        <v>1448182.3257023399</v>
      </c>
      <c r="O41" s="9">
        <f t="shared" si="1"/>
        <v>319334.47388771048</v>
      </c>
      <c r="P41" s="9">
        <f t="shared" si="2"/>
        <v>4370.2736840072621</v>
      </c>
      <c r="Q41" s="9">
        <f t="shared" si="3"/>
        <v>1404479.5888622645</v>
      </c>
      <c r="R41" s="9">
        <f t="shared" si="4"/>
        <v>43702.736840075151</v>
      </c>
    </row>
    <row r="42" spans="1:18" x14ac:dyDescent="0.3">
      <c r="A42" s="6">
        <v>36</v>
      </c>
      <c r="B42" s="6">
        <f>Inputs!$B$25+A42</f>
        <v>101</v>
      </c>
      <c r="C42" s="26">
        <f>MIN(Inputs!$B$28*(1-EXP(-(Inputs!$B$8+Inputs!$B$9*Inputs!$B$10^B42))),1)</f>
        <v>0.22792600202215971</v>
      </c>
      <c r="D42" s="27">
        <f>Inputs!$B$26</f>
        <v>12000</v>
      </c>
      <c r="E42" s="27">
        <f>Inputs!$B$27*(1+Inputs!$B$19)^A42</f>
        <v>260.84504952024014</v>
      </c>
      <c r="F42" s="9">
        <f t="shared" si="5"/>
        <v>36.20258598962323</v>
      </c>
      <c r="G42" s="27">
        <f>E42+(1-C42)*D42*(1/(1+Inputs!$B$6))+(1-C42)*(1/(1+Inputs!$B$6))*G43</f>
        <v>28873.454214143407</v>
      </c>
      <c r="H42" s="26">
        <f>MIN(MAX(C42*(1+Inputs!$B$32),0),1)</f>
        <v>0.18234080161772778</v>
      </c>
      <c r="I42" s="27">
        <f>E42+(1-H42)*D42*(1/(1+Inputs!$B$6))+(1-H42)*(1/(1+Inputs!$B$6))*I43</f>
        <v>35485.052484166183</v>
      </c>
      <c r="J42" s="27">
        <f>E42*(1+Inputs!$B$36)</f>
        <v>286.92955447226416</v>
      </c>
      <c r="K42" s="27">
        <f>J42+(1-C42)*D42*(1/(1+Inputs!$B$6))+(1-C42)*(1/(1+Inputs!$B$6))*K43</f>
        <v>28964.913880482745</v>
      </c>
      <c r="L42" s="27">
        <f>(1-C42)*D42*(1/(1+Inputs!$B$6))+(1-C42)*(1/(1+Inputs!$B$6))*L43</f>
        <v>27958.857550749999</v>
      </c>
      <c r="M42" s="27">
        <f>E42+(1-C42)*(1/(1+Inputs!$B$6))*M43</f>
        <v>914.59666339340765</v>
      </c>
      <c r="N42" s="9">
        <f t="shared" si="0"/>
        <v>1045293.709004976</v>
      </c>
      <c r="O42" s="9">
        <f t="shared" si="1"/>
        <v>239356.95489934375</v>
      </c>
      <c r="P42" s="9">
        <f t="shared" si="2"/>
        <v>3311.0764352321544</v>
      </c>
      <c r="Q42" s="9">
        <f t="shared" si="3"/>
        <v>1012182.9446526535</v>
      </c>
      <c r="R42" s="9">
        <f t="shared" si="4"/>
        <v>33110.764352322331</v>
      </c>
    </row>
    <row r="43" spans="1:18" x14ac:dyDescent="0.3">
      <c r="A43" s="6">
        <v>37</v>
      </c>
      <c r="B43" s="6">
        <f>Inputs!$B$25+A43</f>
        <v>102</v>
      </c>
      <c r="C43" s="26">
        <f>MIN(Inputs!$B$28*(1-EXP(-(Inputs!$B$8+Inputs!$B$9*Inputs!$B$10^B43))),1)</f>
        <v>0.25084538546808344</v>
      </c>
      <c r="D43" s="27">
        <f>Inputs!$B$26</f>
        <v>12000</v>
      </c>
      <c r="E43" s="27">
        <f>Inputs!$B$27*(1+Inputs!$B$19)^A43</f>
        <v>268.67040100584728</v>
      </c>
      <c r="F43" s="9">
        <f t="shared" si="5"/>
        <v>27.951075302144954</v>
      </c>
      <c r="G43" s="27">
        <f>E43+(1-C43)*D43*(1/(1+Inputs!$B$6))+(1-C43)*(1/(1+Inputs!$B$6))*G44</f>
        <v>26171.195399340111</v>
      </c>
      <c r="H43" s="26">
        <f>MIN(MAX(C43*(1+Inputs!$B$32),0),1)</f>
        <v>0.20067630837446676</v>
      </c>
      <c r="I43" s="27">
        <f>E43+(1-H43)*D43*(1/(1+Inputs!$B$6))+(1-H43)*(1/(1+Inputs!$B$6))*I44</f>
        <v>32371.706120920142</v>
      </c>
      <c r="J43" s="27">
        <f>E43*(1+Inputs!$B$36)</f>
        <v>295.53744110643203</v>
      </c>
      <c r="K43" s="27">
        <f>J43+(1-C43)*D43*(1/(1+Inputs!$B$6))+(1-C43)*(1/(1+Inputs!$B$6))*K44</f>
        <v>26258.410376667794</v>
      </c>
      <c r="L43" s="27">
        <f>(1-C43)*D43*(1/(1+Inputs!$B$6))+(1-C43)*(1/(1+Inputs!$B$6))*L44</f>
        <v>25299.045626063209</v>
      </c>
      <c r="M43" s="27">
        <f>E43+(1-C43)*(1/(1+Inputs!$B$6))*M44</f>
        <v>872.14977327689917</v>
      </c>
      <c r="N43" s="9">
        <f t="shared" si="0"/>
        <v>731513.05335410498</v>
      </c>
      <c r="O43" s="9">
        <f t="shared" si="1"/>
        <v>173310.94209064057</v>
      </c>
      <c r="P43" s="9">
        <f t="shared" si="2"/>
        <v>2437.7523987609407</v>
      </c>
      <c r="Q43" s="9">
        <f t="shared" si="3"/>
        <v>707135.52936649369</v>
      </c>
      <c r="R43" s="9">
        <f t="shared" si="4"/>
        <v>24377.523987611257</v>
      </c>
    </row>
    <row r="44" spans="1:18" x14ac:dyDescent="0.3">
      <c r="A44" s="6">
        <v>38</v>
      </c>
      <c r="B44" s="6">
        <f>Inputs!$B$25+A44</f>
        <v>103</v>
      </c>
      <c r="C44" s="26">
        <f>MIN(Inputs!$B$28*(1-EXP(-(Inputs!$B$8+Inputs!$B$9*Inputs!$B$10^B44))),1)</f>
        <v>0.27540791337803805</v>
      </c>
      <c r="D44" s="27">
        <f>Inputs!$B$26</f>
        <v>12000</v>
      </c>
      <c r="E44" s="27">
        <f>Inputs!$B$27*(1+Inputs!$B$19)^A44</f>
        <v>276.73051303602273</v>
      </c>
      <c r="F44" s="9">
        <f t="shared" si="5"/>
        <v>20.939677043730978</v>
      </c>
      <c r="G44" s="27">
        <f>E44+(1-C44)*D44*(1/(1+Inputs!$B$6))+(1-C44)*(1/(1+Inputs!$B$6))*G45</f>
        <v>23612.943217274471</v>
      </c>
      <c r="H44" s="26">
        <f>MIN(MAX(C44*(1+Inputs!$B$32),0),1)</f>
        <v>0.22032633070243046</v>
      </c>
      <c r="I44" s="27">
        <f>E44+(1-H44)*D44*(1/(1+Inputs!$B$6))+(1-H44)*(1/(1+Inputs!$B$6))*I45</f>
        <v>29367.630082710624</v>
      </c>
      <c r="J44" s="27">
        <f>E44*(1+Inputs!$B$36)</f>
        <v>304.40356433962501</v>
      </c>
      <c r="K44" s="27">
        <f>J44+(1-C44)*D44*(1/(1+Inputs!$B$6))+(1-C44)*(1/(1+Inputs!$B$6))*K45</f>
        <v>23695.914574772891</v>
      </c>
      <c r="L44" s="27">
        <f>(1-C44)*D44*(1/(1+Inputs!$B$6))+(1-C44)*(1/(1+Inputs!$B$6))*L45</f>
        <v>22783.229642290276</v>
      </c>
      <c r="M44" s="27">
        <f>E44+(1-C44)*(1/(1+Inputs!$B$6))*M45</f>
        <v>829.71357498419547</v>
      </c>
      <c r="N44" s="9">
        <f t="shared" si="0"/>
        <v>494447.40502168535</v>
      </c>
      <c r="O44" s="9">
        <f t="shared" si="1"/>
        <v>120501.28445003359</v>
      </c>
      <c r="P44" s="9">
        <f t="shared" si="2"/>
        <v>1737.3934298968577</v>
      </c>
      <c r="Q44" s="9">
        <f t="shared" si="3"/>
        <v>477073.47072271683</v>
      </c>
      <c r="R44" s="9">
        <f t="shared" si="4"/>
        <v>17373.934298968517</v>
      </c>
    </row>
    <row r="45" spans="1:18" x14ac:dyDescent="0.3">
      <c r="A45" s="6">
        <v>39</v>
      </c>
      <c r="B45" s="6">
        <f>Inputs!$B$25+A45</f>
        <v>104</v>
      </c>
      <c r="C45" s="26">
        <f>MIN(Inputs!$B$28*(1-EXP(-(Inputs!$B$8+Inputs!$B$9*Inputs!$B$10^B45))),1)</f>
        <v>0.30157637571054119</v>
      </c>
      <c r="D45" s="27">
        <f>Inputs!$B$26</f>
        <v>12000</v>
      </c>
      <c r="E45" s="27">
        <f>Inputs!$B$27*(1+Inputs!$B$19)^A45</f>
        <v>285.03242842710341</v>
      </c>
      <c r="F45" s="9">
        <f t="shared" si="5"/>
        <v>15.172724282307025</v>
      </c>
      <c r="G45" s="27">
        <f>E45+(1-C45)*D45*(1/(1+Inputs!$B$6))+(1-C45)*(1/(1+Inputs!$B$6))*G46</f>
        <v>21172.179946682125</v>
      </c>
      <c r="H45" s="26">
        <f>MIN(MAX(C45*(1+Inputs!$B$32),0),1)</f>
        <v>0.24126110056843297</v>
      </c>
      <c r="I45" s="27">
        <f>E45+(1-H45)*D45*(1/(1+Inputs!$B$6))+(1-H45)*(1/(1+Inputs!$B$6))*I46</f>
        <v>26430.984316502487</v>
      </c>
      <c r="J45" s="27">
        <f>E45*(1+Inputs!$B$36)</f>
        <v>313.5356712698138</v>
      </c>
      <c r="K45" s="27">
        <f>J45+(1-C45)*D45*(1/(1+Inputs!$B$6))+(1-C45)*(1/(1+Inputs!$B$6))*K46</f>
        <v>21250.785905030625</v>
      </c>
      <c r="L45" s="27">
        <f>(1-C45)*D45*(1/(1+Inputs!$B$6))+(1-C45)*(1/(1+Inputs!$B$6))*L46</f>
        <v>20386.120363197078</v>
      </c>
      <c r="M45" s="27">
        <f>E45+(1-C45)*(1/(1+Inputs!$B$6))*M46</f>
        <v>786.05958348504328</v>
      </c>
      <c r="N45" s="9">
        <f t="shared" si="0"/>
        <v>321239.64878639771</v>
      </c>
      <c r="O45" s="9">
        <f t="shared" si="1"/>
        <v>79790.388757875699</v>
      </c>
      <c r="P45" s="9">
        <f t="shared" si="2"/>
        <v>1192.6665329683049</v>
      </c>
      <c r="Q45" s="9">
        <f t="shared" si="3"/>
        <v>309312.98345671402</v>
      </c>
      <c r="R45" s="9">
        <f t="shared" si="4"/>
        <v>11926.665329683661</v>
      </c>
    </row>
    <row r="46" spans="1:18" x14ac:dyDescent="0.3">
      <c r="A46" s="6">
        <v>40</v>
      </c>
      <c r="B46" s="6">
        <f>Inputs!$B$25+A46</f>
        <v>105</v>
      </c>
      <c r="C46" s="26">
        <f>MIN(Inputs!$B$28*(1-EXP(-(Inputs!$B$8+Inputs!$B$9*Inputs!$B$10^B46))),1)</f>
        <v>0.32927133003406162</v>
      </c>
      <c r="D46" s="27">
        <f>Inputs!$B$26</f>
        <v>12000</v>
      </c>
      <c r="E46" s="27">
        <f>Inputs!$B$27*(1+Inputs!$B$19)^A46</f>
        <v>293.58340127991647</v>
      </c>
      <c r="F46" s="9">
        <f t="shared" si="5"/>
        <v>10.596989083593551</v>
      </c>
      <c r="G46" s="27">
        <f>E46+(1-C46)*D46*(1/(1+Inputs!$B$6))+(1-C46)*(1/(1+Inputs!$B$6))*G47</f>
        <v>18803.313627441643</v>
      </c>
      <c r="H46" s="26">
        <f>MIN(MAX(C46*(1+Inputs!$B$32),0),1)</f>
        <v>0.26341706402724929</v>
      </c>
      <c r="I46" s="27">
        <f>E46+(1-H46)*D46*(1/(1+Inputs!$B$6))+(1-H46)*(1/(1+Inputs!$B$6))*I47</f>
        <v>23493.541276048112</v>
      </c>
      <c r="J46" s="27">
        <f>E46*(1+Inputs!$B$36)</f>
        <v>322.94174140790813</v>
      </c>
      <c r="K46" s="27">
        <f>J46+(1-C46)*D46*(1/(1+Inputs!$B$6))+(1-C46)*(1/(1+Inputs!$B$6))*K47</f>
        <v>18877.202589922643</v>
      </c>
      <c r="L46" s="27">
        <f>(1-C46)*D46*(1/(1+Inputs!$B$6))+(1-C46)*(1/(1+Inputs!$B$6))*L47</f>
        <v>18064.424002631644</v>
      </c>
      <c r="M46" s="27">
        <f>E46+(1-C46)*(1/(1+Inputs!$B$6))*M47</f>
        <v>738.88962480999908</v>
      </c>
      <c r="N46" s="9">
        <f t="shared" si="0"/>
        <v>199258.50924538492</v>
      </c>
      <c r="O46" s="9">
        <f t="shared" si="1"/>
        <v>49702.2911918514</v>
      </c>
      <c r="P46" s="9">
        <f t="shared" si="2"/>
        <v>783.00052880920941</v>
      </c>
      <c r="Q46" s="9">
        <f t="shared" si="3"/>
        <v>191428.50395729285</v>
      </c>
      <c r="R46" s="9">
        <f t="shared" si="4"/>
        <v>7830.0052880920948</v>
      </c>
    </row>
    <row r="47" spans="1:18" x14ac:dyDescent="0.3">
      <c r="A47" s="6">
        <v>41</v>
      </c>
      <c r="B47" s="6">
        <f>Inputs!$B$25+A47</f>
        <v>106</v>
      </c>
      <c r="C47" s="26">
        <f>MIN(Inputs!$B$28*(1-EXP(-(Inputs!$B$8+Inputs!$B$9*Inputs!$B$10^B47))),1)</f>
        <v>0.35836398791261992</v>
      </c>
      <c r="D47" s="27">
        <f>Inputs!$B$26</f>
        <v>12000</v>
      </c>
      <c r="E47" s="27">
        <f>Inputs!$B$27*(1+Inputs!$B$19)^A47</f>
        <v>302.39090331831397</v>
      </c>
      <c r="F47" s="9">
        <f t="shared" si="5"/>
        <v>7.1077043936822708</v>
      </c>
      <c r="G47" s="27">
        <f>E47+(1-C47)*D47*(1/(1+Inputs!$B$6))+(1-C47)*(1/(1+Inputs!$B$6))*G48</f>
        <v>16424.343533600189</v>
      </c>
      <c r="H47" s="26">
        <f>MIN(MAX(C47*(1+Inputs!$B$32),0),1)</f>
        <v>0.28669119033009594</v>
      </c>
      <c r="I47" s="27">
        <f>E47+(1-H47)*D47*(1/(1+Inputs!$B$6))+(1-H47)*(1/(1+Inputs!$B$6))*I48</f>
        <v>20441.637518324551</v>
      </c>
      <c r="J47" s="27">
        <f>E47*(1+Inputs!$B$36)</f>
        <v>332.62999365014542</v>
      </c>
      <c r="K47" s="27">
        <f>J47+(1-C47)*D47*(1/(1+Inputs!$B$6))+(1-C47)*(1/(1+Inputs!$B$6))*K48</f>
        <v>16492.726686248083</v>
      </c>
      <c r="L47" s="27">
        <f>(1-C47)*D47*(1/(1+Inputs!$B$6))+(1-C47)*(1/(1+Inputs!$B$6))*L48</f>
        <v>15740.512007121266</v>
      </c>
      <c r="M47" s="27">
        <f>E47+(1-C47)*(1/(1+Inputs!$B$6))*M48</f>
        <v>683.83152647892246</v>
      </c>
      <c r="N47" s="9">
        <f t="shared" si="0"/>
        <v>116739.37869711706</v>
      </c>
      <c r="O47" s="9">
        <f t="shared" si="1"/>
        <v>28553.738105938701</v>
      </c>
      <c r="P47" s="9">
        <f t="shared" si="2"/>
        <v>486.0472345292776</v>
      </c>
      <c r="Q47" s="9">
        <f t="shared" si="3"/>
        <v>111878.90635182436</v>
      </c>
      <c r="R47" s="9">
        <f t="shared" si="4"/>
        <v>4860.472345292691</v>
      </c>
    </row>
    <row r="48" spans="1:18" x14ac:dyDescent="0.3">
      <c r="A48" s="6">
        <v>42</v>
      </c>
      <c r="B48" s="6">
        <f>Inputs!$B$25+A48</f>
        <v>107</v>
      </c>
      <c r="C48" s="26">
        <f>MIN(Inputs!$B$28*(1-EXP(-(Inputs!$B$8+Inputs!$B$9*Inputs!$B$10^B48))),1)</f>
        <v>0.38866975514774066</v>
      </c>
      <c r="D48" s="27">
        <f>Inputs!$B$26</f>
        <v>12000</v>
      </c>
      <c r="E48" s="27">
        <f>Inputs!$B$27*(1+Inputs!$B$19)^A48</f>
        <v>311.46263041786341</v>
      </c>
      <c r="F48" s="9">
        <f t="shared" si="5"/>
        <v>4.5605591022582423</v>
      </c>
      <c r="G48" s="27">
        <f>E48+(1-C48)*D48*(1/(1+Inputs!$B$6))+(1-C48)*(1/(1+Inputs!$B$6))*G49</f>
        <v>13880.110991851447</v>
      </c>
      <c r="H48" s="26">
        <f>MIN(MAX(C48*(1+Inputs!$B$32),0),1)</f>
        <v>0.31093580411819255</v>
      </c>
      <c r="I48" s="27">
        <f>E48+(1-H48)*D48*(1/(1+Inputs!$B$6))+(1-H48)*(1/(1+Inputs!$B$6))*I49</f>
        <v>17080.566133840126</v>
      </c>
      <c r="J48" s="27">
        <f>E48*(1+Inputs!$B$36)</f>
        <v>342.60889345964978</v>
      </c>
      <c r="K48" s="27">
        <f>J48+(1-C48)*D48*(1/(1+Inputs!$B$6))+(1-C48)*(1/(1+Inputs!$B$6))*K49</f>
        <v>13941.342567768967</v>
      </c>
      <c r="L48" s="27">
        <f>(1-C48)*D48*(1/(1+Inputs!$B$6))+(1-C48)*(1/(1+Inputs!$B$6))*L49</f>
        <v>13267.795232676253</v>
      </c>
      <c r="M48" s="27">
        <f>E48+(1-C48)*(1/(1+Inputs!$B$6))*M49</f>
        <v>612.31575917519194</v>
      </c>
      <c r="N48" s="9">
        <f t="shared" si="0"/>
        <v>63301.066524242793</v>
      </c>
      <c r="O48" s="9">
        <f t="shared" si="1"/>
        <v>14595.864829165666</v>
      </c>
      <c r="P48" s="9">
        <f t="shared" si="2"/>
        <v>279.25022089626185</v>
      </c>
      <c r="Q48" s="9">
        <f t="shared" si="3"/>
        <v>60508.5643152802</v>
      </c>
      <c r="R48" s="9">
        <f t="shared" si="4"/>
        <v>2792.5022089625877</v>
      </c>
    </row>
    <row r="49" spans="1:18" x14ac:dyDescent="0.3">
      <c r="A49" s="6">
        <v>43</v>
      </c>
      <c r="B49" s="6">
        <f>Inputs!$B$25+A49</f>
        <v>108</v>
      </c>
      <c r="C49" s="26">
        <f>MIN(Inputs!$B$28*(1-EXP(-(Inputs!$B$8+Inputs!$B$9*Inputs!$B$10^B49))),1)</f>
        <v>0.41994318737507119</v>
      </c>
      <c r="D49" s="27">
        <f>Inputs!$B$26</f>
        <v>12000</v>
      </c>
      <c r="E49" s="27">
        <f>Inputs!$B$27*(1+Inputs!$B$19)^A49</f>
        <v>320.80650933039931</v>
      </c>
      <c r="F49" s="9">
        <f t="shared" si="5"/>
        <v>2.7880077126467313</v>
      </c>
      <c r="G49" s="27">
        <f>E49+(1-C49)*D49*(1/(1+Inputs!$B$6))+(1-C49)*(1/(1+Inputs!$B$6))*G50</f>
        <v>10861.142451170743</v>
      </c>
      <c r="H49" s="26">
        <f>MIN(MAX(C49*(1+Inputs!$B$32),0),1)</f>
        <v>0.33595454990005696</v>
      </c>
      <c r="I49" s="27">
        <f>E49+(1-H49)*D49*(1/(1+Inputs!$B$6))+(1-H49)*(1/(1+Inputs!$B$6))*I50</f>
        <v>13066.135654344111</v>
      </c>
      <c r="J49" s="27">
        <f>E49*(1+Inputs!$B$36)</f>
        <v>352.88716026343928</v>
      </c>
      <c r="K49" s="27">
        <f>J49+(1-C49)*D49*(1/(1+Inputs!$B$6))+(1-C49)*(1/(1+Inputs!$B$6))*K50</f>
        <v>10911.831702230935</v>
      </c>
      <c r="L49" s="27">
        <f>(1-C49)*D49*(1/(1+Inputs!$B$6))+(1-C49)*(1/(1+Inputs!$B$6))*L50</f>
        <v>10354.249940568823</v>
      </c>
      <c r="M49" s="27">
        <f>E49+(1-C49)*(1/(1+Inputs!$B$6))*M50</f>
        <v>506.89251060192021</v>
      </c>
      <c r="N49" s="9">
        <f t="shared" si="0"/>
        <v>30280.948922018855</v>
      </c>
      <c r="O49" s="9">
        <f t="shared" si="1"/>
        <v>6147.5380567809707</v>
      </c>
      <c r="P49" s="9">
        <f t="shared" si="2"/>
        <v>141.32202290410169</v>
      </c>
      <c r="Q49" s="9">
        <f t="shared" si="3"/>
        <v>28867.728692977838</v>
      </c>
      <c r="R49" s="9">
        <f t="shared" si="4"/>
        <v>1413.2202290410185</v>
      </c>
    </row>
    <row r="50" spans="1:18" x14ac:dyDescent="0.3">
      <c r="A50" s="6">
        <v>44</v>
      </c>
      <c r="B50" s="6">
        <f>Inputs!$B$25+A50</f>
        <v>109</v>
      </c>
      <c r="C50" s="26">
        <f>MIN(Inputs!$B$28*(1-EXP(-(Inputs!$B$8+Inputs!$B$9*Inputs!$B$10^B50))),1)</f>
        <v>0.45187530559292916</v>
      </c>
      <c r="D50" s="27">
        <f>Inputs!$B$26</f>
        <v>12000</v>
      </c>
      <c r="E50" s="27">
        <f>Inputs!$B$27*(1+Inputs!$B$19)^A50</f>
        <v>330.43070461031124</v>
      </c>
      <c r="F50" s="9">
        <f t="shared" si="5"/>
        <v>1.6172028673715815</v>
      </c>
      <c r="G50" s="27">
        <f>E50+(1-C50)*D50*(1/(1+Inputs!$B$6))+(1-C50)*(1/(1+Inputs!$B$6))*G51</f>
        <v>6716.3494744014279</v>
      </c>
      <c r="H50" s="26">
        <f>MIN(MAX(C50*(1+Inputs!$B$32),0),1)</f>
        <v>0.36150024447434337</v>
      </c>
      <c r="I50" s="27">
        <f>E50+(1-H50)*D50*(1/(1+Inputs!$B$6))+(1-H50)*(1/(1+Inputs!$B$6))*I51</f>
        <v>7769.2628078218449</v>
      </c>
      <c r="J50" s="27">
        <f>E50*(1+Inputs!$B$36)</f>
        <v>363.4737750713424</v>
      </c>
      <c r="K50" s="27">
        <f>J50+(1-C50)*D50*(1/(1+Inputs!$B$6))+(1-C50)*(1/(1+Inputs!$B$6))*K51</f>
        <v>6749.3925448624586</v>
      </c>
      <c r="L50" s="27">
        <f>(1-C50)*D50*(1/(1+Inputs!$B$6))+(1-C50)*(1/(1+Inputs!$B$6))*L51</f>
        <v>6385.9187697911166</v>
      </c>
      <c r="M50" s="27">
        <f>E50+(1-C50)*(1/(1+Inputs!$B$6))*M51</f>
        <v>330.43070461031124</v>
      </c>
      <c r="N50" s="9">
        <f t="shared" si="0"/>
        <v>10861.699628271603</v>
      </c>
      <c r="O50" s="9">
        <f t="shared" si="1"/>
        <v>1702.7744619012685</v>
      </c>
      <c r="P50" s="9">
        <f t="shared" si="2"/>
        <v>53.437348296340161</v>
      </c>
      <c r="Q50" s="9">
        <f t="shared" si="3"/>
        <v>10327.326145308196</v>
      </c>
      <c r="R50" s="9">
        <f t="shared" si="4"/>
        <v>534.37348296340735</v>
      </c>
    </row>
    <row r="51" spans="1:18" x14ac:dyDescent="0.3">
      <c r="A51" s="6" t="s">
        <v>123</v>
      </c>
      <c r="B51" s="6"/>
      <c r="C51" s="6"/>
      <c r="D51" s="6"/>
      <c r="E51" s="6"/>
      <c r="F51" s="6"/>
      <c r="G51" s="6">
        <v>0</v>
      </c>
      <c r="H51" s="6"/>
      <c r="I51" s="6">
        <v>0</v>
      </c>
      <c r="J51" s="6"/>
      <c r="K51" s="6">
        <v>0</v>
      </c>
      <c r="L51" s="6">
        <v>0</v>
      </c>
      <c r="M51" s="6">
        <v>0</v>
      </c>
      <c r="N51" s="6"/>
      <c r="O51" s="6"/>
      <c r="P51" s="6"/>
      <c r="Q51" s="6"/>
      <c r="R51" s="6"/>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50"/>
  <sheetViews>
    <sheetView topLeftCell="D1" zoomScaleNormal="100" workbookViewId="0">
      <selection activeCell="L6" sqref="L6"/>
    </sheetView>
  </sheetViews>
  <sheetFormatPr defaultColWidth="8.6640625" defaultRowHeight="14.4" x14ac:dyDescent="0.3"/>
  <cols>
    <col min="1" max="1" width="8" customWidth="1"/>
    <col min="2" max="22" width="13" customWidth="1"/>
    <col min="23" max="23" width="11.44140625" bestFit="1" customWidth="1"/>
    <col min="24" max="39" width="13" customWidth="1"/>
  </cols>
  <sheetData>
    <row r="1" spans="1:25" ht="17.399999999999999" x14ac:dyDescent="0.3">
      <c r="A1" s="5" t="s">
        <v>131</v>
      </c>
      <c r="B1" s="6"/>
      <c r="C1" s="6"/>
      <c r="D1" s="6"/>
      <c r="E1" s="6"/>
      <c r="F1" s="6"/>
      <c r="G1" s="6"/>
      <c r="H1" s="6"/>
      <c r="I1" s="6"/>
      <c r="J1" s="6"/>
      <c r="K1" s="6"/>
      <c r="L1" s="6"/>
      <c r="M1" s="6"/>
      <c r="N1" s="6"/>
      <c r="O1" s="6"/>
      <c r="P1" s="6"/>
      <c r="Q1" s="6"/>
      <c r="R1" s="6"/>
      <c r="S1" s="6"/>
      <c r="T1" s="6"/>
      <c r="U1" s="6"/>
      <c r="V1" s="6"/>
      <c r="W1" s="6"/>
      <c r="X1" s="6"/>
      <c r="Y1" s="6"/>
    </row>
    <row r="2" spans="1:25" x14ac:dyDescent="0.3">
      <c r="A2" s="6" t="s">
        <v>132</v>
      </c>
      <c r="B2" s="6"/>
      <c r="C2" s="6"/>
      <c r="D2" s="6"/>
      <c r="E2" s="6"/>
      <c r="F2" s="6"/>
      <c r="G2" s="6"/>
      <c r="H2" s="6"/>
      <c r="I2" s="6"/>
      <c r="J2" s="6"/>
      <c r="K2" s="6"/>
      <c r="L2" s="6"/>
      <c r="M2" s="6"/>
      <c r="N2" s="6"/>
      <c r="O2" s="6"/>
      <c r="P2" s="6"/>
      <c r="Q2" s="6"/>
      <c r="R2" s="6"/>
      <c r="S2" s="6"/>
      <c r="T2" s="6"/>
      <c r="U2" s="6"/>
      <c r="V2" s="6"/>
      <c r="W2" s="6"/>
      <c r="X2" s="6"/>
      <c r="Y2" s="6"/>
    </row>
    <row r="3" spans="1:25" x14ac:dyDescent="0.3">
      <c r="A3" s="6"/>
      <c r="B3" s="6"/>
      <c r="C3" s="6"/>
      <c r="D3" s="6"/>
      <c r="E3" s="6"/>
      <c r="F3" s="6"/>
      <c r="G3" s="6"/>
      <c r="H3" s="6"/>
      <c r="I3" s="6"/>
      <c r="J3" s="6"/>
      <c r="K3" s="6"/>
      <c r="L3" s="6"/>
      <c r="M3" s="6"/>
      <c r="N3" s="6"/>
      <c r="O3" s="6"/>
      <c r="P3" s="6"/>
      <c r="Q3" s="6"/>
      <c r="R3" s="6"/>
      <c r="S3" s="6"/>
      <c r="T3" s="6"/>
      <c r="U3" s="6"/>
      <c r="V3" s="6"/>
      <c r="W3" s="6"/>
      <c r="X3" s="6"/>
      <c r="Y3" s="6"/>
    </row>
    <row r="4" spans="1:25" x14ac:dyDescent="0.3">
      <c r="A4" s="6"/>
      <c r="B4" s="6"/>
      <c r="C4" s="6"/>
      <c r="D4" s="6"/>
      <c r="E4" s="6"/>
      <c r="F4" s="6"/>
      <c r="G4" s="6"/>
      <c r="H4" s="6"/>
      <c r="I4" s="6"/>
      <c r="J4" s="6"/>
      <c r="K4" s="6"/>
      <c r="L4" s="6"/>
      <c r="M4" s="6"/>
      <c r="N4" s="6"/>
      <c r="O4" s="6"/>
      <c r="P4" s="6"/>
      <c r="Q4" s="6"/>
      <c r="R4" s="6"/>
      <c r="S4" s="6"/>
      <c r="T4" s="6"/>
      <c r="U4" s="6"/>
      <c r="V4" s="6"/>
      <c r="W4" s="6"/>
      <c r="X4" s="6"/>
      <c r="Y4" s="6"/>
    </row>
    <row r="5" spans="1:25" ht="57.75" customHeight="1" x14ac:dyDescent="0.3">
      <c r="A5" s="8" t="s">
        <v>96</v>
      </c>
      <c r="B5" s="8" t="s">
        <v>133</v>
      </c>
      <c r="C5" s="8" t="s">
        <v>134</v>
      </c>
      <c r="D5" s="8" t="s">
        <v>135</v>
      </c>
      <c r="E5" s="8" t="s">
        <v>136</v>
      </c>
      <c r="F5" s="8" t="s">
        <v>137</v>
      </c>
      <c r="G5" s="8" t="s">
        <v>138</v>
      </c>
      <c r="H5" s="8" t="s">
        <v>139</v>
      </c>
      <c r="I5" s="8" t="s">
        <v>140</v>
      </c>
      <c r="J5" s="8" t="s">
        <v>141</v>
      </c>
      <c r="K5" s="8" t="s">
        <v>142</v>
      </c>
      <c r="L5" s="8" t="s">
        <v>143</v>
      </c>
      <c r="M5" s="8" t="s">
        <v>144</v>
      </c>
      <c r="N5" s="8" t="s">
        <v>145</v>
      </c>
      <c r="O5" s="8" t="s">
        <v>146</v>
      </c>
      <c r="P5" s="8" t="s">
        <v>147</v>
      </c>
      <c r="Q5" s="8" t="s">
        <v>148</v>
      </c>
      <c r="R5" s="8" t="s">
        <v>149</v>
      </c>
      <c r="S5" s="8" t="s">
        <v>150</v>
      </c>
      <c r="T5" s="8" t="s">
        <v>151</v>
      </c>
      <c r="U5" s="8" t="s">
        <v>152</v>
      </c>
      <c r="V5" s="8" t="s">
        <v>153</v>
      </c>
      <c r="W5" s="8" t="s">
        <v>154</v>
      </c>
      <c r="X5" s="8" t="s">
        <v>155</v>
      </c>
      <c r="Y5" s="8" t="s">
        <v>156</v>
      </c>
    </row>
    <row r="6" spans="1:25" x14ac:dyDescent="0.3">
      <c r="A6" s="6">
        <v>0</v>
      </c>
      <c r="B6" s="28">
        <f>Term!U6</f>
        <v>3055572.46970473</v>
      </c>
      <c r="C6" s="28">
        <f>Annuity!O6</f>
        <v>3036146.3502394473</v>
      </c>
      <c r="D6" s="28">
        <f>Term!V6</f>
        <v>661794.10343687551</v>
      </c>
      <c r="E6" s="28">
        <f>Term!W6</f>
        <v>764711.77326274069</v>
      </c>
      <c r="F6" s="28">
        <f>Annuity!P6</f>
        <v>70131.166602004669</v>
      </c>
      <c r="G6" s="9">
        <f t="shared" ref="G6:G50" si="0">E6+F6</f>
        <v>834842.93986474536</v>
      </c>
      <c r="H6" s="9">
        <f>Inputs!$B$40*B6+Inputs!$C$40*C6+Inputs!$D$40*D6+Inputs!$E$40*G6</f>
        <v>2505246.6171110547</v>
      </c>
      <c r="I6" s="9">
        <f>Inputs!$B$41*B6+Inputs!$C$41*C6+Inputs!$D$41*D6+Inputs!$E$41*G6</f>
        <v>2646412.4936386701</v>
      </c>
      <c r="J6" s="9">
        <f>Inputs!$B$42*B6+Inputs!$C$42*C6+Inputs!$D$42*D6+Inputs!$E$42*G6</f>
        <v>1838252.1609291099</v>
      </c>
      <c r="K6" s="9">
        <f>Inputs!$B$43*B6+Inputs!$C$43*C6+Inputs!$D$43*D6+Inputs!$E$43*G6</f>
        <v>2688669.6965692276</v>
      </c>
      <c r="L6" s="9">
        <f t="shared" ref="L6:L50" si="1">SQRT(MAX(B6*H6+C6*I6+D6*J6+G6*K6,0))</f>
        <v>4376187.7909199297</v>
      </c>
      <c r="M6" s="9">
        <f>SQRT(MAX(B6^2+D6^2+E6^2+2*Inputs!$D$40*B6*D6+2*Inputs!$E$40*B6*E6+2*Inputs!$E$42*D6*E6,0))</f>
        <v>3468958.9954801025</v>
      </c>
      <c r="N6" s="9">
        <f>SQRT(MAX(C6^2+F6^2+2*Inputs!$E$41*C6*F6,0))</f>
        <v>3054434.0365049024</v>
      </c>
      <c r="O6" s="9">
        <f t="shared" ref="O6:O50" si="2">M6+N6</f>
        <v>6523393.0319850054</v>
      </c>
      <c r="P6" s="11">
        <f t="shared" ref="P6:P50" si="3">IF(O6=0,0,1-L6/O6)</f>
        <v>0.32915466392061032</v>
      </c>
      <c r="Q6" s="9">
        <f t="shared" ref="Q6:Q50" si="4">IF(L6=0,0,B6*H6/L6)</f>
        <v>1749230.8280162436</v>
      </c>
      <c r="R6" s="9">
        <f t="shared" ref="R6:R50" si="5">IF(L6=0,0,C6*I6/L6)</f>
        <v>1836049.0951646494</v>
      </c>
      <c r="S6" s="9">
        <f t="shared" ref="S6:S50" si="6">IF(L6=0,0,D6*J6/L6)</f>
        <v>277991.82732906583</v>
      </c>
      <c r="T6" s="9">
        <f t="shared" ref="T6:T50" si="7">IF(L6=0,0,G6*K6/L6)</f>
        <v>512916.04040997068</v>
      </c>
      <c r="U6" s="9">
        <f t="shared" ref="U6:U50" si="8">Q6+S6+IF(G6=0,0,T6*E6/G6)</f>
        <v>2497051.0698496699</v>
      </c>
      <c r="V6" s="9">
        <f t="shared" ref="V6:V50" si="9">R6+IF(G6=0,0,T6*F6/G6)</f>
        <v>1879136.7210702598</v>
      </c>
      <c r="W6" s="14">
        <f t="shared" ref="W6:W50" si="10">U6+V6-L6</f>
        <v>0</v>
      </c>
      <c r="X6" s="9">
        <f t="shared" ref="X6:X50" si="11">IF(O6=0,0,L6*M6/O6)</f>
        <v>2327134.9631684716</v>
      </c>
      <c r="Y6" s="9">
        <f t="shared" ref="Y6:Y50" si="12">IF(O6=0,0,L6*N6/O6)</f>
        <v>2049052.8277514582</v>
      </c>
    </row>
    <row r="7" spans="1:25" x14ac:dyDescent="0.3">
      <c r="A7" s="6">
        <v>1</v>
      </c>
      <c r="B7" s="28">
        <f>Term!U7</f>
        <v>2993750.0810509236</v>
      </c>
      <c r="C7" s="28">
        <f>Annuity!O7</f>
        <v>3071728.4787629764</v>
      </c>
      <c r="D7" s="28">
        <f>Term!V7</f>
        <v>405370.42960868042</v>
      </c>
      <c r="E7" s="28">
        <f>Term!W7</f>
        <v>725853.12646062241</v>
      </c>
      <c r="F7" s="28">
        <f>Annuity!P7</f>
        <v>69454.101600058057</v>
      </c>
      <c r="G7" s="9">
        <f t="shared" si="0"/>
        <v>795307.22806068044</v>
      </c>
      <c r="H7" s="9">
        <f>Inputs!$B$40*B7+Inputs!$C$40*C7+Inputs!$D$40*D7+Inputs!$E$40*G7</f>
        <v>2424644.7683753492</v>
      </c>
      <c r="I7" s="9">
        <f>Inputs!$B$41*B7+Inputs!$C$41*C7+Inputs!$D$41*D7+Inputs!$E$41*G7</f>
        <v>2623460.372917586</v>
      </c>
      <c r="J7" s="9">
        <f>Inputs!$B$42*B7+Inputs!$C$42*C7+Inputs!$D$42*D7+Inputs!$E$42*G7</f>
        <v>1570956.1633297647</v>
      </c>
      <c r="K7" s="9">
        <f>Inputs!$B$43*B7+Inputs!$C$43*C7+Inputs!$D$43*D7+Inputs!$E$43*G7</f>
        <v>2514362.0828184956</v>
      </c>
      <c r="L7" s="9">
        <f t="shared" si="1"/>
        <v>4237198.1220487123</v>
      </c>
      <c r="M7" s="9">
        <f>SQRT(MAX(B7^2+D7^2+E7^2+2*Inputs!$D$40*B7*D7+2*Inputs!$E$40*B7*E7+2*Inputs!$E$42*D7*E7,0))</f>
        <v>3321818.5254433486</v>
      </c>
      <c r="N7" s="9">
        <f>SQRT(MAX(C7^2+F7^2+2*Inputs!$E$41*C7*F7,0))</f>
        <v>3089823.9092864948</v>
      </c>
      <c r="O7" s="9">
        <f t="shared" si="2"/>
        <v>6411642.4347298434</v>
      </c>
      <c r="P7" s="11">
        <f t="shared" si="3"/>
        <v>0.33913998399268996</v>
      </c>
      <c r="Q7" s="9">
        <f t="shared" si="4"/>
        <v>1713108.5832573089</v>
      </c>
      <c r="R7" s="9">
        <f t="shared" si="5"/>
        <v>1901860.0755210198</v>
      </c>
      <c r="S7" s="9">
        <f t="shared" si="6"/>
        <v>150292.51795228422</v>
      </c>
      <c r="T7" s="9">
        <f t="shared" si="7"/>
        <v>471936.94531809946</v>
      </c>
      <c r="U7" s="9">
        <f t="shared" si="8"/>
        <v>2294123.8397501786</v>
      </c>
      <c r="V7" s="9">
        <f t="shared" si="9"/>
        <v>1943074.2822985337</v>
      </c>
      <c r="W7" s="14">
        <f t="shared" si="10"/>
        <v>0</v>
      </c>
      <c r="X7" s="9">
        <f t="shared" si="11"/>
        <v>2195257.0438978705</v>
      </c>
      <c r="Y7" s="9">
        <f t="shared" si="12"/>
        <v>2041941.0781508421</v>
      </c>
    </row>
    <row r="8" spans="1:25" x14ac:dyDescent="0.3">
      <c r="A8" s="6">
        <v>2</v>
      </c>
      <c r="B8" s="28">
        <f>Term!U8</f>
        <v>2927673.4312895988</v>
      </c>
      <c r="C8" s="28">
        <f>Annuity!O8</f>
        <v>3103455.2954910365</v>
      </c>
      <c r="D8" s="28">
        <f>Term!V8</f>
        <v>186670.20586995536</v>
      </c>
      <c r="E8" s="28">
        <f>Term!W8</f>
        <v>687188.23735277762</v>
      </c>
      <c r="F8" s="28">
        <f>Annuity!P8</f>
        <v>68685.302002483179</v>
      </c>
      <c r="G8" s="9">
        <f t="shared" si="0"/>
        <v>755873.53935526079</v>
      </c>
      <c r="H8" s="9">
        <f>Inputs!$B$40*B8+Inputs!$C$40*C8+Inputs!$D$40*D8+Inputs!$E$40*G8</f>
        <v>2340777.9922556551</v>
      </c>
      <c r="I8" s="9">
        <f>Inputs!$B$41*B8+Inputs!$C$41*C8+Inputs!$D$41*D8+Inputs!$E$41*G8</f>
        <v>2607172.8739749412</v>
      </c>
      <c r="J8" s="9">
        <f>Inputs!$B$42*B8+Inputs!$C$42*C8+Inputs!$D$42*D8+Inputs!$E$42*G8</f>
        <v>1340470.7994203449</v>
      </c>
      <c r="K8" s="9">
        <f>Inputs!$B$43*B8+Inputs!$C$43*C8+Inputs!$D$43*D8+Inputs!$E$43*G8</f>
        <v>2356990.8239853974</v>
      </c>
      <c r="L8" s="9">
        <f t="shared" si="1"/>
        <v>4120205.2078648438</v>
      </c>
      <c r="M8" s="9">
        <f>SQRT(MAX(B8^2+D8^2+E8^2+2*Inputs!$D$40*B8*D8+2*Inputs!$E$40*B8*E8+2*Inputs!$E$42*D8*E8,0))</f>
        <v>3195708.7010127888</v>
      </c>
      <c r="N8" s="9">
        <f>SQRT(MAX(C8^2+F8^2+2*Inputs!$E$41*C8*F8,0))</f>
        <v>3121335.1828878508</v>
      </c>
      <c r="O8" s="9">
        <f t="shared" si="2"/>
        <v>6317043.8839006396</v>
      </c>
      <c r="P8" s="11">
        <f t="shared" si="3"/>
        <v>0.34776371929828909</v>
      </c>
      <c r="Q8" s="9">
        <f t="shared" si="4"/>
        <v>1663274.8105344111</v>
      </c>
      <c r="R8" s="9">
        <f t="shared" si="5"/>
        <v>1963796.4746399436</v>
      </c>
      <c r="S8" s="9">
        <f t="shared" si="6"/>
        <v>60731.431437642037</v>
      </c>
      <c r="T8" s="9">
        <f t="shared" si="7"/>
        <v>432402.49125284748</v>
      </c>
      <c r="U8" s="9">
        <f t="shared" si="8"/>
        <v>2117116.8488659631</v>
      </c>
      <c r="V8" s="9">
        <f t="shared" si="9"/>
        <v>2003088.3589988814</v>
      </c>
      <c r="W8" s="14">
        <f t="shared" si="10"/>
        <v>0</v>
      </c>
      <c r="X8" s="9">
        <f t="shared" si="11"/>
        <v>2084357.1573546771</v>
      </c>
      <c r="Y8" s="9">
        <f t="shared" si="12"/>
        <v>2035848.0505101664</v>
      </c>
    </row>
    <row r="9" spans="1:25" x14ac:dyDescent="0.3">
      <c r="A9" s="6">
        <v>3</v>
      </c>
      <c r="B9" s="28">
        <f>Term!U9</f>
        <v>2856663.9671768169</v>
      </c>
      <c r="C9" s="28">
        <f>Annuity!O9</f>
        <v>3130839.9544187849</v>
      </c>
      <c r="D9" s="28">
        <f>Term!V9</f>
        <v>207326.62772608452</v>
      </c>
      <c r="E9" s="28">
        <f>Term!W9</f>
        <v>648695.13483865187</v>
      </c>
      <c r="F9" s="28">
        <f>Annuity!P9</f>
        <v>67821.644080468672</v>
      </c>
      <c r="G9" s="9">
        <f t="shared" si="0"/>
        <v>716516.77891912055</v>
      </c>
      <c r="H9" s="9">
        <f>Inputs!$B$40*B9+Inputs!$C$40*C9+Inputs!$D$40*D9+Inputs!$E$40*G9</f>
        <v>2253083.1733019007</v>
      </c>
      <c r="I9" s="9">
        <f>Inputs!$B$41*B9+Inputs!$C$41*C9+Inputs!$D$41*D9+Inputs!$E$41*G9</f>
        <v>2647634.8142858818</v>
      </c>
      <c r="J9" s="9">
        <f>Inputs!$B$42*B9+Inputs!$C$42*C9+Inputs!$D$42*D9+Inputs!$E$42*G9</f>
        <v>1348295.0057903412</v>
      </c>
      <c r="K9" s="9">
        <f>Inputs!$B$43*B9+Inputs!$C$43*C9+Inputs!$D$43*D9+Inputs!$E$43*G9</f>
        <v>2317056.0731810629</v>
      </c>
      <c r="L9" s="9">
        <f t="shared" si="1"/>
        <v>4082324.0180516602</v>
      </c>
      <c r="M9" s="9">
        <f>SQRT(MAX(B9^2+D9^2+E9^2+2*Inputs!$D$40*B9*D9+2*Inputs!$E$40*B9*E9+2*Inputs!$E$42*D9*E9,0))</f>
        <v>3112131.5064294203</v>
      </c>
      <c r="N9" s="9">
        <f>SQRT(MAX(C9^2+F9^2+2*Inputs!$E$41*C9*F9,0))</f>
        <v>3148480.260716517</v>
      </c>
      <c r="O9" s="9">
        <f t="shared" si="2"/>
        <v>6260611.7671459373</v>
      </c>
      <c r="P9" s="11">
        <f t="shared" si="3"/>
        <v>0.34793528653627193</v>
      </c>
      <c r="Q9" s="9">
        <f t="shared" si="4"/>
        <v>1576626.8154519848</v>
      </c>
      <c r="R9" s="9">
        <f t="shared" si="5"/>
        <v>2030539.6692231647</v>
      </c>
      <c r="S9" s="9">
        <f t="shared" si="6"/>
        <v>68475.078287354016</v>
      </c>
      <c r="T9" s="9">
        <f t="shared" si="7"/>
        <v>406682.45508915704</v>
      </c>
      <c r="U9" s="9">
        <f t="shared" si="8"/>
        <v>2013289.9638617742</v>
      </c>
      <c r="V9" s="9">
        <f t="shared" si="9"/>
        <v>2069034.0541898862</v>
      </c>
      <c r="W9" s="14">
        <f t="shared" si="10"/>
        <v>0</v>
      </c>
      <c r="X9" s="9">
        <f t="shared" si="11"/>
        <v>2029311.1390013406</v>
      </c>
      <c r="Y9" s="9">
        <f t="shared" si="12"/>
        <v>2053012.8790503195</v>
      </c>
    </row>
    <row r="10" spans="1:25" x14ac:dyDescent="0.3">
      <c r="A10" s="6">
        <v>4</v>
      </c>
      <c r="B10" s="28">
        <f>Term!U10</f>
        <v>2780006.5955810384</v>
      </c>
      <c r="C10" s="28">
        <f>Annuity!O10</f>
        <v>3153370.1665589698</v>
      </c>
      <c r="D10" s="28">
        <f>Term!V10</f>
        <v>349307.97747663257</v>
      </c>
      <c r="E10" s="28">
        <f>Term!W10</f>
        <v>610351.96375435044</v>
      </c>
      <c r="F10" s="28">
        <f>Annuity!P10</f>
        <v>66860.159208074008</v>
      </c>
      <c r="G10" s="9">
        <f t="shared" si="0"/>
        <v>677212.12296242442</v>
      </c>
      <c r="H10" s="9">
        <f>Inputs!$B$40*B10+Inputs!$C$40*C10+Inputs!$D$40*D10+Inputs!$E$40*G10</f>
        <v>2160967.0846819021</v>
      </c>
      <c r="I10" s="9">
        <f>Inputs!$B$41*B10+Inputs!$C$41*C10+Inputs!$D$41*D10+Inputs!$E$41*G10</f>
        <v>2714998.5427734745</v>
      </c>
      <c r="J10" s="9">
        <f>Inputs!$B$42*B10+Inputs!$C$42*C10+Inputs!$D$42*D10+Inputs!$E$42*G10</f>
        <v>1476256.5805975874</v>
      </c>
      <c r="K10" s="9">
        <f>Inputs!$B$43*B10+Inputs!$C$43*C10+Inputs!$D$43*D10+Inputs!$E$43*G10</f>
        <v>2335210.3022357426</v>
      </c>
      <c r="L10" s="9">
        <f t="shared" si="1"/>
        <v>4082401.1417336334</v>
      </c>
      <c r="M10" s="9">
        <f>SQRT(MAX(B10^2+D10^2+E10^2+2*Inputs!$D$40*B10*D10+2*Inputs!$E$40*B10*E10+2*Inputs!$E$42*D10*E10,0))</f>
        <v>3047059.9447173784</v>
      </c>
      <c r="N10" s="9">
        <f>SQRT(MAX(C10^2+F10^2+2*Inputs!$E$41*C10*F10,0))</f>
        <v>3170746.1430903822</v>
      </c>
      <c r="O10" s="9">
        <f t="shared" si="2"/>
        <v>6217806.0878077606</v>
      </c>
      <c r="P10" s="11">
        <f t="shared" si="3"/>
        <v>0.34343382793190591</v>
      </c>
      <c r="Q10" s="9">
        <f t="shared" si="4"/>
        <v>1471561.1082006674</v>
      </c>
      <c r="R10" s="9">
        <f t="shared" si="5"/>
        <v>2097147.0244585683</v>
      </c>
      <c r="S10" s="9">
        <f t="shared" si="6"/>
        <v>126314.92655964938</v>
      </c>
      <c r="T10" s="9">
        <f t="shared" si="7"/>
        <v>387378.0825147478</v>
      </c>
      <c r="U10" s="9">
        <f t="shared" si="8"/>
        <v>1947008.8475989169</v>
      </c>
      <c r="V10" s="9">
        <f t="shared" si="9"/>
        <v>2135392.294134716</v>
      </c>
      <c r="W10" s="14">
        <f t="shared" si="10"/>
        <v>0</v>
      </c>
      <c r="X10" s="9">
        <f t="shared" si="11"/>
        <v>2000596.4839651077</v>
      </c>
      <c r="Y10" s="9">
        <f t="shared" si="12"/>
        <v>2081804.6577685259</v>
      </c>
    </row>
    <row r="11" spans="1:25" x14ac:dyDescent="0.3">
      <c r="A11" s="6">
        <v>5</v>
      </c>
      <c r="B11" s="28">
        <f>Term!U11</f>
        <v>2696946.5051524099</v>
      </c>
      <c r="C11" s="28">
        <f>Annuity!O11</f>
        <v>3170510.760259157</v>
      </c>
      <c r="D11" s="28">
        <f>Term!V11</f>
        <v>453111.86992372846</v>
      </c>
      <c r="E11" s="28">
        <f>Term!W11</f>
        <v>572136.9882951848</v>
      </c>
      <c r="F11" s="28">
        <f>Annuity!P11</f>
        <v>65798.081873493182</v>
      </c>
      <c r="G11" s="9">
        <f t="shared" si="0"/>
        <v>637935.07016867795</v>
      </c>
      <c r="H11" s="9">
        <f>Inputs!$B$40*B11+Inputs!$C$40*C11+Inputs!$D$40*D11+Inputs!$E$40*G11</f>
        <v>2063802.5826297901</v>
      </c>
      <c r="I11" s="9">
        <f>Inputs!$B$41*B11+Inputs!$C$41*C11+Inputs!$D$41*D11+Inputs!$E$41*G11</f>
        <v>2769035.8689941559</v>
      </c>
      <c r="J11" s="9">
        <f>Inputs!$B$42*B11+Inputs!$C$42*C11+Inputs!$D$42*D11+Inputs!$E$42*G11</f>
        <v>1564707.0950728566</v>
      </c>
      <c r="K11" s="9">
        <f>Inputs!$B$43*B11+Inputs!$C$43*C11+Inputs!$D$43*D11+Inputs!$E$43*G11</f>
        <v>2331355.3214834342</v>
      </c>
      <c r="L11" s="9">
        <f t="shared" si="1"/>
        <v>4067119.8481317842</v>
      </c>
      <c r="M11" s="9">
        <f>SQRT(MAX(B11^2+D11^2+E11^2+2*Inputs!$D$40*B11*D11+2*Inputs!$E$40*B11*E11+2*Inputs!$E$42*D11*E11,0))</f>
        <v>2972696.5936401221</v>
      </c>
      <c r="N11" s="9">
        <f>SQRT(MAX(C11^2+F11^2+2*Inputs!$E$41*C11*F11,0))</f>
        <v>3187596.9995891089</v>
      </c>
      <c r="O11" s="9">
        <f t="shared" si="2"/>
        <v>6160293.5932292305</v>
      </c>
      <c r="P11" s="11">
        <f t="shared" si="3"/>
        <v>0.33978473808424492</v>
      </c>
      <c r="Q11" s="9">
        <f t="shared" si="4"/>
        <v>1368527.4519521804</v>
      </c>
      <c r="R11" s="9">
        <f t="shared" si="5"/>
        <v>2158593.3894282104</v>
      </c>
      <c r="S11" s="9">
        <f t="shared" si="6"/>
        <v>174321.72746447535</v>
      </c>
      <c r="T11" s="9">
        <f t="shared" si="7"/>
        <v>365677.27928691829</v>
      </c>
      <c r="U11" s="9">
        <f t="shared" si="8"/>
        <v>1870809.6679407854</v>
      </c>
      <c r="V11" s="9">
        <f t="shared" si="9"/>
        <v>2196310.1801909991</v>
      </c>
      <c r="W11" s="14">
        <f t="shared" si="10"/>
        <v>0</v>
      </c>
      <c r="X11" s="9">
        <f t="shared" si="11"/>
        <v>1962619.6601661863</v>
      </c>
      <c r="Y11" s="9">
        <f t="shared" si="12"/>
        <v>2104500.1879655984</v>
      </c>
    </row>
    <row r="12" spans="1:25" x14ac:dyDescent="0.3">
      <c r="A12" s="6">
        <v>6</v>
      </c>
      <c r="B12" s="28">
        <f>Term!U12</f>
        <v>2606685.7776792501</v>
      </c>
      <c r="C12" s="28">
        <f>Annuity!O12</f>
        <v>3181707.2241483075</v>
      </c>
      <c r="D12" s="28">
        <f>Term!V12</f>
        <v>522294.68853305979</v>
      </c>
      <c r="E12" s="28">
        <f>Term!W12</f>
        <v>534028.59713568329</v>
      </c>
      <c r="F12" s="28">
        <f>Annuity!P12</f>
        <v>64632.904651259007</v>
      </c>
      <c r="G12" s="9">
        <f t="shared" si="0"/>
        <v>598661.50178694224</v>
      </c>
      <c r="H12" s="9">
        <f>Inputs!$B$40*B12+Inputs!$C$40*C12+Inputs!$D$40*D12+Inputs!$E$40*G12</f>
        <v>1960924.347088909</v>
      </c>
      <c r="I12" s="9">
        <f>Inputs!$B$41*B12+Inputs!$C$41*C12+Inputs!$D$41*D12+Inputs!$E$41*G12</f>
        <v>2810274.8273084955</v>
      </c>
      <c r="J12" s="9">
        <f>Inputs!$B$42*B12+Inputs!$C$42*C12+Inputs!$D$42*D12+Inputs!$E$42*G12</f>
        <v>1617052.2454636076</v>
      </c>
      <c r="K12" s="9">
        <f>Inputs!$B$43*B12+Inputs!$C$43*C12+Inputs!$D$43*D12+Inputs!$E$43*G12</f>
        <v>2306907.0965103614</v>
      </c>
      <c r="L12" s="9">
        <f t="shared" si="1"/>
        <v>4034677.1360689015</v>
      </c>
      <c r="M12" s="9">
        <f>SQRT(MAX(B12^2+D12^2+E12^2+2*Inputs!$D$40*B12*D12+2*Inputs!$E$40*B12*E12+2*Inputs!$E$42*D12*E12,0))</f>
        <v>2885780.9518579803</v>
      </c>
      <c r="N12" s="9">
        <f>SQRT(MAX(C12^2+F12^2+2*Inputs!$E$41*C12*F12,0))</f>
        <v>3198477.7257915186</v>
      </c>
      <c r="O12" s="9">
        <f t="shared" si="2"/>
        <v>6084258.6776494989</v>
      </c>
      <c r="P12" s="11">
        <f t="shared" si="3"/>
        <v>0.33686627248603473</v>
      </c>
      <c r="Q12" s="9">
        <f t="shared" si="4"/>
        <v>1266895.3262619469</v>
      </c>
      <c r="R12" s="9">
        <f t="shared" si="5"/>
        <v>2216155.448959047</v>
      </c>
      <c r="S12" s="9">
        <f t="shared" si="6"/>
        <v>209329.71100359113</v>
      </c>
      <c r="T12" s="9">
        <f t="shared" si="7"/>
        <v>342296.64984431671</v>
      </c>
      <c r="U12" s="9">
        <f t="shared" si="8"/>
        <v>1781566.5352155098</v>
      </c>
      <c r="V12" s="9">
        <f t="shared" si="9"/>
        <v>2253110.6008533919</v>
      </c>
      <c r="W12" s="14">
        <f t="shared" si="10"/>
        <v>0</v>
      </c>
      <c r="X12" s="9">
        <f t="shared" si="11"/>
        <v>1913658.6793943814</v>
      </c>
      <c r="Y12" s="9">
        <f t="shared" si="12"/>
        <v>2121018.4566745204</v>
      </c>
    </row>
    <row r="13" spans="1:25" x14ac:dyDescent="0.3">
      <c r="A13" s="6">
        <v>7</v>
      </c>
      <c r="B13" s="28">
        <f>Term!U13</f>
        <v>2508379.7631776528</v>
      </c>
      <c r="C13" s="28">
        <f>Annuity!O13</f>
        <v>3186390.3895375887</v>
      </c>
      <c r="D13" s="28">
        <f>Term!V13</f>
        <v>560435.21679712296</v>
      </c>
      <c r="E13" s="28">
        <f>Term!W13</f>
        <v>496005.31040399801</v>
      </c>
      <c r="F13" s="28">
        <f>Annuity!P13</f>
        <v>63362.440776087446</v>
      </c>
      <c r="G13" s="9">
        <f t="shared" si="0"/>
        <v>559367.75118008547</v>
      </c>
      <c r="H13" s="9">
        <f>Inputs!$B$40*B13+Inputs!$C$40*C13+Inputs!$D$40*D13+Inputs!$E$40*G13</f>
        <v>1851624.103588277</v>
      </c>
      <c r="I13" s="9">
        <f>Inputs!$B$41*B13+Inputs!$C$41*C13+Inputs!$D$41*D13+Inputs!$E$41*G13</f>
        <v>2839246.190737478</v>
      </c>
      <c r="J13" s="9">
        <f>Inputs!$B$42*B13+Inputs!$C$42*C13+Inputs!$D$42*D13+Inputs!$E$42*G13</f>
        <v>1636716.6897715628</v>
      </c>
      <c r="K13" s="9">
        <f>Inputs!$B$43*B13+Inputs!$C$43*C13+Inputs!$D$43*D13+Inputs!$E$43*G13</f>
        <v>2263277.8977574571</v>
      </c>
      <c r="L13" s="9">
        <f t="shared" si="1"/>
        <v>3984319.4584497963</v>
      </c>
      <c r="M13" s="9">
        <f>SQRT(MAX(B13^2+D13^2+E13^2+2*Inputs!$D$40*B13*D13+2*Inputs!$E$40*B13*E13+2*Inputs!$E$42*D13*E13,0))</f>
        <v>2784266.8014553473</v>
      </c>
      <c r="N13" s="9">
        <f>SQRT(MAX(C13^2+F13^2+2*Inputs!$E$41*C13*F13,0))</f>
        <v>3202818.6413863483</v>
      </c>
      <c r="O13" s="9">
        <f t="shared" si="2"/>
        <v>5987085.4428416956</v>
      </c>
      <c r="P13" s="11">
        <f t="shared" si="3"/>
        <v>0.33451434817695058</v>
      </c>
      <c r="Q13" s="9">
        <f t="shared" si="4"/>
        <v>1165713.8637823709</v>
      </c>
      <c r="R13" s="9">
        <f t="shared" si="5"/>
        <v>2270637.9019158916</v>
      </c>
      <c r="S13" s="9">
        <f t="shared" si="6"/>
        <v>230220.91537421162</v>
      </c>
      <c r="T13" s="9">
        <f t="shared" si="7"/>
        <v>317746.77737732214</v>
      </c>
      <c r="U13" s="9">
        <f t="shared" si="8"/>
        <v>1677688.7569474275</v>
      </c>
      <c r="V13" s="9">
        <f t="shared" si="9"/>
        <v>2306630.7015023688</v>
      </c>
      <c r="W13" s="14">
        <f t="shared" si="10"/>
        <v>0</v>
      </c>
      <c r="X13" s="9">
        <f t="shared" si="11"/>
        <v>1852889.6072157889</v>
      </c>
      <c r="Y13" s="9">
        <f t="shared" si="12"/>
        <v>2131429.8512340076</v>
      </c>
    </row>
    <row r="14" spans="1:25" x14ac:dyDescent="0.3">
      <c r="A14" s="6">
        <v>8</v>
      </c>
      <c r="B14" s="28">
        <f>Term!U14</f>
        <v>2401133.1882476192</v>
      </c>
      <c r="C14" s="28">
        <f>Annuity!O14</f>
        <v>3183982.4167763051</v>
      </c>
      <c r="D14" s="28">
        <f>Term!V14</f>
        <v>571149.9925405808</v>
      </c>
      <c r="E14" s="28">
        <f>Term!W14</f>
        <v>458045.78867987328</v>
      </c>
      <c r="F14" s="28">
        <f>Annuity!P14</f>
        <v>61984.894927628535</v>
      </c>
      <c r="G14" s="9">
        <f t="shared" si="0"/>
        <v>520030.68360750179</v>
      </c>
      <c r="H14" s="9">
        <f>Inputs!$B$40*B14+Inputs!$C$40*C14+Inputs!$D$40*D14+Inputs!$E$40*G14</f>
        <v>1735145.2549554184</v>
      </c>
      <c r="I14" s="9">
        <f>Inputs!$B$41*B14+Inputs!$C$41*C14+Inputs!$D$41*D14+Inputs!$E$41*G14</f>
        <v>2856494.288751421</v>
      </c>
      <c r="J14" s="9">
        <f>Inputs!$B$42*B14+Inputs!$C$42*C14+Inputs!$D$42*D14+Inputs!$E$42*G14</f>
        <v>1627160.9385384079</v>
      </c>
      <c r="K14" s="9">
        <f>Inputs!$B$43*B14+Inputs!$C$43*C14+Inputs!$D$43*D14+Inputs!$E$43*G14</f>
        <v>2201884.5811337731</v>
      </c>
      <c r="L14" s="9">
        <f t="shared" si="1"/>
        <v>3916087.70956048</v>
      </c>
      <c r="M14" s="9">
        <f>SQRT(MAX(B14^2+D14^2+E14^2+2*Inputs!$D$40*B14*D14+2*Inputs!$E$40*B14*E14+2*Inputs!$E$42*D14*E14,0))</f>
        <v>2667018.2165606879</v>
      </c>
      <c r="N14" s="9">
        <f>SQRT(MAX(C14^2+F14^2+2*Inputs!$E$41*C14*F14,0))</f>
        <v>3200041.4943118342</v>
      </c>
      <c r="O14" s="9">
        <f t="shared" si="2"/>
        <v>5867059.7108725216</v>
      </c>
      <c r="P14" s="11">
        <f t="shared" si="3"/>
        <v>0.33252976745687535</v>
      </c>
      <c r="Q14" s="9">
        <f t="shared" si="4"/>
        <v>1063897.2278206293</v>
      </c>
      <c r="R14" s="9">
        <f t="shared" si="5"/>
        <v>2322478.009571251</v>
      </c>
      <c r="S14" s="9">
        <f t="shared" si="6"/>
        <v>237316.68615074037</v>
      </c>
      <c r="T14" s="9">
        <f t="shared" si="7"/>
        <v>292395.78601785901</v>
      </c>
      <c r="U14" s="9">
        <f t="shared" si="8"/>
        <v>1558757.6755896881</v>
      </c>
      <c r="V14" s="9">
        <f t="shared" si="9"/>
        <v>2357330.0339707914</v>
      </c>
      <c r="W14" s="14">
        <f t="shared" si="10"/>
        <v>0</v>
      </c>
      <c r="X14" s="9">
        <f t="shared" si="11"/>
        <v>1780155.269204512</v>
      </c>
      <c r="Y14" s="9">
        <f t="shared" si="12"/>
        <v>2135932.4403559682</v>
      </c>
    </row>
    <row r="15" spans="1:25" x14ac:dyDescent="0.3">
      <c r="A15" s="6">
        <v>9</v>
      </c>
      <c r="B15" s="28">
        <f>Term!U15</f>
        <v>2283995.9617143767</v>
      </c>
      <c r="C15" s="28">
        <f>Annuity!O15</f>
        <v>3173904.2531058351</v>
      </c>
      <c r="D15" s="28">
        <f>Term!V15</f>
        <v>558108.97261615063</v>
      </c>
      <c r="E15" s="28">
        <f>Term!W15</f>
        <v>420128.84419774596</v>
      </c>
      <c r="F15" s="28">
        <f>Annuity!P15</f>
        <v>60498.942766277323</v>
      </c>
      <c r="G15" s="9">
        <f t="shared" si="0"/>
        <v>480627.78696402325</v>
      </c>
      <c r="H15" s="9">
        <f>Inputs!$B$40*B15+Inputs!$C$40*C15+Inputs!$D$40*D15+Inputs!$E$40*G15</f>
        <v>1610676.8451789238</v>
      </c>
      <c r="I15" s="9">
        <f>Inputs!$B$41*B15+Inputs!$C$41*C15+Inputs!$D$41*D15+Inputs!$E$41*G15</f>
        <v>2862589.4525722847</v>
      </c>
      <c r="J15" s="9">
        <f>Inputs!$B$42*B15+Inputs!$C$42*C15+Inputs!$D$42*D15+Inputs!$E$42*G15</f>
        <v>1591898.9293746212</v>
      </c>
      <c r="K15" s="9">
        <f>Inputs!$B$43*B15+Inputs!$C$43*C15+Inputs!$D$43*D15+Inputs!$E$43*G15</f>
        <v>2124157.3269771514</v>
      </c>
      <c r="L15" s="9">
        <f t="shared" si="1"/>
        <v>3830632.6317778183</v>
      </c>
      <c r="M15" s="9">
        <f>SQRT(MAX(B15^2+D15^2+E15^2+2*Inputs!$D$40*B15*D15+2*Inputs!$E$40*B15*E15+2*Inputs!$E$42*D15*E15,0))</f>
        <v>2533553.9057901404</v>
      </c>
      <c r="N15" s="9">
        <f>SQRT(MAX(C15^2+F15^2+2*Inputs!$E$41*C15*F15,0))</f>
        <v>3189566.9386040941</v>
      </c>
      <c r="O15" s="9">
        <f t="shared" si="2"/>
        <v>5723120.8443942349</v>
      </c>
      <c r="P15" s="11">
        <f t="shared" si="3"/>
        <v>0.33067416608371958</v>
      </c>
      <c r="Q15" s="9">
        <f t="shared" si="4"/>
        <v>960358.18718230142</v>
      </c>
      <c r="R15" s="9">
        <f t="shared" si="5"/>
        <v>2371823.5894101928</v>
      </c>
      <c r="S15" s="9">
        <f t="shared" si="6"/>
        <v>231933.77214292772</v>
      </c>
      <c r="T15" s="9">
        <f t="shared" si="7"/>
        <v>266517.0830423967</v>
      </c>
      <c r="U15" s="9">
        <f t="shared" si="8"/>
        <v>1425261.2488555871</v>
      </c>
      <c r="V15" s="9">
        <f t="shared" si="9"/>
        <v>2405371.3829222312</v>
      </c>
      <c r="W15" s="14">
        <f t="shared" si="10"/>
        <v>0</v>
      </c>
      <c r="X15" s="9">
        <f t="shared" si="11"/>
        <v>1695773.080764835</v>
      </c>
      <c r="Y15" s="9">
        <f t="shared" si="12"/>
        <v>2134859.5510129826</v>
      </c>
    </row>
    <row r="16" spans="1:25" x14ac:dyDescent="0.3">
      <c r="A16" s="6">
        <v>10</v>
      </c>
      <c r="B16" s="28">
        <f>Term!U16</f>
        <v>2155958.6348331324</v>
      </c>
      <c r="C16" s="28">
        <f>Annuity!O16</f>
        <v>3155584.7259161836</v>
      </c>
      <c r="D16" s="28">
        <f>Term!V16</f>
        <v>525051.54456034221</v>
      </c>
      <c r="E16" s="28">
        <f>Term!W16</f>
        <v>382233.45444896747</v>
      </c>
      <c r="F16" s="28">
        <f>Annuity!P16</f>
        <v>58903.819640204005</v>
      </c>
      <c r="G16" s="9">
        <f t="shared" si="0"/>
        <v>441137.27408917149</v>
      </c>
      <c r="H16" s="9">
        <f>Inputs!$B$40*B16+Inputs!$C$40*C16+Inputs!$D$40*D16+Inputs!$E$40*G16</f>
        <v>1477346.7718763794</v>
      </c>
      <c r="I16" s="9">
        <f>Inputs!$B$41*B16+Inputs!$C$41*C16+Inputs!$D$41*D16+Inputs!$E$41*G16</f>
        <v>2858142.2718702788</v>
      </c>
      <c r="J16" s="9">
        <f>Inputs!$B$42*B16+Inputs!$C$42*C16+Inputs!$D$42*D16+Inputs!$E$42*G16</f>
        <v>1534516.363083974</v>
      </c>
      <c r="K16" s="9">
        <f>Inputs!$B$43*B16+Inputs!$C$43*C16+Inputs!$D$43*D16+Inputs!$E$43*G16</f>
        <v>2031548.8865566715</v>
      </c>
      <c r="L16" s="9">
        <f t="shared" si="1"/>
        <v>3729088.4612280019</v>
      </c>
      <c r="M16" s="9">
        <f>SQRT(MAX(B16^2+D16^2+E16^2+2*Inputs!$D$40*B16*D16+2*Inputs!$E$40*B16*E16+2*Inputs!$E$42*D16*E16,0))</f>
        <v>2383835.396418653</v>
      </c>
      <c r="N16" s="9">
        <f>SQRT(MAX(C16^2+F16^2+2*Inputs!$E$41*C16*F16,0))</f>
        <v>3170823.6499655885</v>
      </c>
      <c r="O16" s="9">
        <f t="shared" si="2"/>
        <v>5554659.0463842414</v>
      </c>
      <c r="P16" s="11">
        <f t="shared" si="3"/>
        <v>0.32865574104761286</v>
      </c>
      <c r="Q16" s="9">
        <f t="shared" si="4"/>
        <v>854122.5456531191</v>
      </c>
      <c r="R16" s="9">
        <f t="shared" si="5"/>
        <v>2418583.0374855758</v>
      </c>
      <c r="S16" s="9">
        <f t="shared" si="6"/>
        <v>216058.21233992383</v>
      </c>
      <c r="T16" s="9">
        <f t="shared" si="7"/>
        <v>240324.66574938328</v>
      </c>
      <c r="U16" s="9">
        <f t="shared" si="8"/>
        <v>1278415.5469673965</v>
      </c>
      <c r="V16" s="9">
        <f t="shared" si="9"/>
        <v>2450672.9142606054</v>
      </c>
      <c r="W16" s="14">
        <f t="shared" si="10"/>
        <v>0</v>
      </c>
      <c r="X16" s="9">
        <f t="shared" si="11"/>
        <v>1600374.2076731503</v>
      </c>
      <c r="Y16" s="9">
        <f t="shared" si="12"/>
        <v>2128714.2535548513</v>
      </c>
    </row>
    <row r="17" spans="1:25" x14ac:dyDescent="0.3">
      <c r="A17" s="6">
        <v>11</v>
      </c>
      <c r="B17" s="28">
        <f>Term!U17</f>
        <v>2015947.4650931107</v>
      </c>
      <c r="C17" s="28">
        <f>Annuity!O17</f>
        <v>3128471.4224692127</v>
      </c>
      <c r="D17" s="28">
        <f>Term!V17</f>
        <v>475802.91891509504</v>
      </c>
      <c r="E17" s="28">
        <f>Term!W17</f>
        <v>344338.7783892625</v>
      </c>
      <c r="F17" s="28">
        <f>Annuity!P17</f>
        <v>57199.418697313129</v>
      </c>
      <c r="G17" s="9">
        <f t="shared" si="0"/>
        <v>401538.19708657562</v>
      </c>
      <c r="H17" s="9">
        <f>Inputs!$B$40*B17+Inputs!$C$40*C17+Inputs!$D$40*D17+Inputs!$E$40*G17</f>
        <v>1334214.1587474514</v>
      </c>
      <c r="I17" s="9">
        <f>Inputs!$B$41*B17+Inputs!$C$41*C17+Inputs!$D$41*D17+Inputs!$E$41*G17</f>
        <v>2843819.835196353</v>
      </c>
      <c r="J17" s="9">
        <f>Inputs!$B$42*B17+Inputs!$C$42*C17+Inputs!$D$42*D17+Inputs!$E$42*G17</f>
        <v>1458689.8730756859</v>
      </c>
      <c r="K17" s="9">
        <f>Inputs!$B$43*B17+Inputs!$C$43*C17+Inputs!$D$43*D17+Inputs!$E$43*G17</f>
        <v>1925544.3784347039</v>
      </c>
      <c r="L17" s="9">
        <f t="shared" si="1"/>
        <v>3612996.4370047916</v>
      </c>
      <c r="M17" s="9">
        <f>SQRT(MAX(B17^2+D17^2+E17^2+2*Inputs!$D$40*B17*D17+2*Inputs!$E$40*B17*E17+2*Inputs!$E$42*D17*E17,0))</f>
        <v>2218090.0868839589</v>
      </c>
      <c r="N17" s="9">
        <f>SQRT(MAX(C17^2+F17^2+2*Inputs!$E$41*C17*F17,0))</f>
        <v>3143259.2301771813</v>
      </c>
      <c r="O17" s="9">
        <f t="shared" si="2"/>
        <v>5361349.3170611402</v>
      </c>
      <c r="P17" s="11">
        <f t="shared" si="3"/>
        <v>0.32610314617864145</v>
      </c>
      <c r="Q17" s="9">
        <f t="shared" si="4"/>
        <v>744452.89335741871</v>
      </c>
      <c r="R17" s="9">
        <f t="shared" si="5"/>
        <v>2462446.1275246749</v>
      </c>
      <c r="S17" s="9">
        <f t="shared" si="6"/>
        <v>192097.86433575174</v>
      </c>
      <c r="T17" s="9">
        <f t="shared" si="7"/>
        <v>213999.55178694701</v>
      </c>
      <c r="U17" s="9">
        <f t="shared" si="8"/>
        <v>1120065.9120989644</v>
      </c>
      <c r="V17" s="9">
        <f t="shared" si="9"/>
        <v>2492930.5249058278</v>
      </c>
      <c r="W17" s="14">
        <f t="shared" si="10"/>
        <v>0</v>
      </c>
      <c r="X17" s="9">
        <f t="shared" si="11"/>
        <v>1494763.9310434435</v>
      </c>
      <c r="Y17" s="9">
        <f t="shared" si="12"/>
        <v>2118232.5059613478</v>
      </c>
    </row>
    <row r="18" spans="1:25" x14ac:dyDescent="0.3">
      <c r="A18" s="6">
        <v>12</v>
      </c>
      <c r="B18" s="28">
        <f>Term!U18</f>
        <v>1862819.0225793219</v>
      </c>
      <c r="C18" s="28">
        <f>Annuity!O18</f>
        <v>3092043.4820757522</v>
      </c>
      <c r="D18" s="28">
        <f>Term!V18</f>
        <v>414290.93225297262</v>
      </c>
      <c r="E18" s="28">
        <f>Term!W18</f>
        <v>306424.17546902259</v>
      </c>
      <c r="F18" s="28">
        <f>Annuity!P18</f>
        <v>55386.39836437512</v>
      </c>
      <c r="G18" s="9">
        <f t="shared" si="0"/>
        <v>361810.57383339771</v>
      </c>
      <c r="H18" s="9">
        <f>Inputs!$B$40*B18+Inputs!$C$40*C18+Inputs!$D$40*D18+Inputs!$E$40*G18</f>
        <v>1180260.7955187333</v>
      </c>
      <c r="I18" s="9">
        <f>Inputs!$B$41*B18+Inputs!$C$41*C18+Inputs!$D$41*D18+Inputs!$E$41*G18</f>
        <v>2820364.1029525148</v>
      </c>
      <c r="J18" s="9">
        <f>Inputs!$B$42*B18+Inputs!$C$42*C18+Inputs!$D$42*D18+Inputs!$E$42*G18</f>
        <v>1368207.0896886094</v>
      </c>
      <c r="K18" s="9">
        <f>Inputs!$B$43*B18+Inputs!$C$43*C18+Inputs!$D$43*D18+Inputs!$E$43*G18</f>
        <v>1807671.6661236524</v>
      </c>
      <c r="L18" s="9">
        <f t="shared" si="1"/>
        <v>3484274.8480331516</v>
      </c>
      <c r="M18" s="9">
        <f>SQRT(MAX(B18^2+D18^2+E18^2+2*Inputs!$D$40*B18*D18+2*Inputs!$E$40*B18*E18+2*Inputs!$E$42*D18*E18,0))</f>
        <v>2036659.6700438531</v>
      </c>
      <c r="N18" s="9">
        <f>SQRT(MAX(C18^2+F18^2+2*Inputs!$E$41*C18*F18,0))</f>
        <v>3106353.0263316869</v>
      </c>
      <c r="O18" s="9">
        <f t="shared" si="2"/>
        <v>5143012.6963755395</v>
      </c>
      <c r="P18" s="11">
        <f t="shared" si="3"/>
        <v>0.32252260421432721</v>
      </c>
      <c r="Q18" s="9">
        <f t="shared" si="4"/>
        <v>631009.99702649773</v>
      </c>
      <c r="R18" s="9">
        <f t="shared" si="5"/>
        <v>2502870.4169355398</v>
      </c>
      <c r="S18" s="9">
        <f t="shared" si="6"/>
        <v>162684.00612029652</v>
      </c>
      <c r="T18" s="9">
        <f t="shared" si="7"/>
        <v>187710.42795081757</v>
      </c>
      <c r="U18" s="9">
        <f t="shared" si="8"/>
        <v>952669.49273061263</v>
      </c>
      <c r="V18" s="9">
        <f t="shared" si="9"/>
        <v>2531605.3553025392</v>
      </c>
      <c r="W18" s="14">
        <f t="shared" si="10"/>
        <v>0</v>
      </c>
      <c r="X18" s="9">
        <f t="shared" si="11"/>
        <v>1379790.8893630172</v>
      </c>
      <c r="Y18" s="9">
        <f t="shared" si="12"/>
        <v>2104483.9586701347</v>
      </c>
    </row>
    <row r="19" spans="1:25" x14ac:dyDescent="0.3">
      <c r="A19" s="6">
        <v>13</v>
      </c>
      <c r="B19" s="28">
        <f>Term!U19</f>
        <v>1695354.2655297683</v>
      </c>
      <c r="C19" s="28">
        <f>Annuity!O19</f>
        <v>3045826.3858557036</v>
      </c>
      <c r="D19" s="28">
        <f>Term!V19</f>
        <v>344563.28628445452</v>
      </c>
      <c r="E19" s="28">
        <f>Term!W19</f>
        <v>268469.22771433514</v>
      </c>
      <c r="F19" s="28">
        <f>Annuity!P19</f>
        <v>53466.29877727374</v>
      </c>
      <c r="G19" s="9">
        <f t="shared" si="0"/>
        <v>321935.52649160888</v>
      </c>
      <c r="H19" s="9">
        <f>Inputs!$B$40*B19+Inputs!$C$40*C19+Inputs!$D$40*D19+Inputs!$E$40*G19</f>
        <v>1014381.5506887446</v>
      </c>
      <c r="I19" s="9">
        <f>Inputs!$B$41*B19+Inputs!$C$41*C19+Inputs!$D$41*D19+Inputs!$E$41*G19</f>
        <v>2788612.5226672771</v>
      </c>
      <c r="J19" s="9">
        <f>Inputs!$B$42*B19+Inputs!$C$42*C19+Inputs!$D$42*D19+Inputs!$E$42*G19</f>
        <v>1266987.6459941848</v>
      </c>
      <c r="K19" s="9">
        <f>Inputs!$B$43*B19+Inputs!$C$43*C19+Inputs!$D$43*D19+Inputs!$E$43*G19</f>
        <v>1679512.3324802043</v>
      </c>
      <c r="L19" s="9">
        <f t="shared" si="1"/>
        <v>3345238.0788658699</v>
      </c>
      <c r="M19" s="9">
        <f>SQRT(MAX(B19^2+D19^2+E19^2+2*Inputs!$D$40*B19*D19+2*Inputs!$E$40*B19*E19+2*Inputs!$E$42*D19*E19,0))</f>
        <v>1839865.6295193532</v>
      </c>
      <c r="N19" s="9">
        <f>SQRT(MAX(C19^2+F19^2+2*Inputs!$E$41*C19*F19,0))</f>
        <v>3059630.9499128633</v>
      </c>
      <c r="O19" s="9">
        <f t="shared" si="2"/>
        <v>4899496.5794322165</v>
      </c>
      <c r="P19" s="11">
        <f t="shared" si="3"/>
        <v>0.31722820403447727</v>
      </c>
      <c r="Q19" s="9">
        <f t="shared" si="4"/>
        <v>514084.81198979507</v>
      </c>
      <c r="R19" s="9">
        <f t="shared" si="5"/>
        <v>2539020.9609078732</v>
      </c>
      <c r="S19" s="9">
        <f t="shared" si="6"/>
        <v>130501.1531895412</v>
      </c>
      <c r="T19" s="9">
        <f t="shared" si="7"/>
        <v>161631.15277866123</v>
      </c>
      <c r="U19" s="9">
        <f t="shared" si="8"/>
        <v>779373.79438834998</v>
      </c>
      <c r="V19" s="9">
        <f t="shared" si="9"/>
        <v>2565864.2844775207</v>
      </c>
      <c r="W19" s="14">
        <f t="shared" si="10"/>
        <v>0</v>
      </c>
      <c r="X19" s="9">
        <f t="shared" si="11"/>
        <v>1256208.3602021658</v>
      </c>
      <c r="Y19" s="9">
        <f t="shared" si="12"/>
        <v>2089029.7186637043</v>
      </c>
    </row>
    <row r="20" spans="1:25" x14ac:dyDescent="0.3">
      <c r="A20" s="6">
        <v>14</v>
      </c>
      <c r="B20" s="28">
        <f>Term!U20</f>
        <v>1512251.9966652128</v>
      </c>
      <c r="C20" s="28">
        <f>Annuity!O20</f>
        <v>2989408.768570052</v>
      </c>
      <c r="D20" s="28">
        <f>Term!V20</f>
        <v>270805.24255699757</v>
      </c>
      <c r="E20" s="28">
        <f>Term!W20</f>
        <v>230453.76509522359</v>
      </c>
      <c r="F20" s="28">
        <f>Annuity!P20</f>
        <v>51441.666236088859</v>
      </c>
      <c r="G20" s="9">
        <f t="shared" si="0"/>
        <v>281895.43133131246</v>
      </c>
      <c r="H20" s="9">
        <f>Inputs!$B$40*B20+Inputs!$C$40*C20+Inputs!$D$40*D20+Inputs!$E$40*G20</f>
        <v>835373.66235552786</v>
      </c>
      <c r="I20" s="9">
        <f>Inputs!$B$41*B20+Inputs!$C$41*C20+Inputs!$D$41*D20+Inputs!$E$41*G20</f>
        <v>2749520.9378758264</v>
      </c>
      <c r="J20" s="9">
        <f>Inputs!$B$42*B20+Inputs!$C$42*C20+Inputs!$D$42*D20+Inputs!$E$42*G20</f>
        <v>1159105.1503651668</v>
      </c>
      <c r="K20" s="9">
        <f>Inputs!$B$43*B20+Inputs!$C$43*C20+Inputs!$D$43*D20+Inputs!$E$43*G20</f>
        <v>1542713.2439186275</v>
      </c>
      <c r="L20" s="9">
        <f t="shared" si="1"/>
        <v>3198673.6402171915</v>
      </c>
      <c r="M20" s="9">
        <f>SQRT(MAX(B20^2+D20^2+E20^2+2*Inputs!$D$40*B20*D20+2*Inputs!$E$40*B20*E20+2*Inputs!$E$42*D20*E20,0))</f>
        <v>1627885.3428966552</v>
      </c>
      <c r="N20" s="9">
        <f>SQRT(MAX(C20^2+F20^2+2*Inputs!$E$41*C20*F20,0))</f>
        <v>3002682.3199743708</v>
      </c>
      <c r="O20" s="9">
        <f t="shared" si="2"/>
        <v>4630567.6628710255</v>
      </c>
      <c r="P20" s="11">
        <f t="shared" si="3"/>
        <v>0.30922645491936018</v>
      </c>
      <c r="Q20" s="9">
        <f t="shared" si="4"/>
        <v>394943.539401819</v>
      </c>
      <c r="R20" s="9">
        <f t="shared" si="5"/>
        <v>2569640.7091080551</v>
      </c>
      <c r="S20" s="9">
        <f t="shared" si="6"/>
        <v>98131.846727692653</v>
      </c>
      <c r="T20" s="9">
        <f t="shared" si="7"/>
        <v>135957.54497962503</v>
      </c>
      <c r="U20" s="9">
        <f t="shared" si="8"/>
        <v>604222.72890724288</v>
      </c>
      <c r="V20" s="9">
        <f t="shared" si="9"/>
        <v>2594450.9113099487</v>
      </c>
      <c r="W20" s="14">
        <f t="shared" si="10"/>
        <v>0</v>
      </c>
      <c r="X20" s="9">
        <f t="shared" si="11"/>
        <v>1124500.1292975356</v>
      </c>
      <c r="Y20" s="9">
        <f t="shared" si="12"/>
        <v>2074173.5109196564</v>
      </c>
    </row>
    <row r="21" spans="1:25" x14ac:dyDescent="0.3">
      <c r="A21" s="6">
        <v>15</v>
      </c>
      <c r="B21" s="28">
        <f>Term!U21</f>
        <v>1312121.5934646945</v>
      </c>
      <c r="C21" s="28">
        <f>Annuity!O21</f>
        <v>2922461.1922741299</v>
      </c>
      <c r="D21" s="28">
        <f>Term!V21</f>
        <v>197357.78491897535</v>
      </c>
      <c r="E21" s="28">
        <f>Term!W21</f>
        <v>192357.89442353725</v>
      </c>
      <c r="F21" s="28">
        <f>Annuity!P21</f>
        <v>49316.184091049232</v>
      </c>
      <c r="G21" s="9">
        <f t="shared" si="0"/>
        <v>241674.07851458649</v>
      </c>
      <c r="H21" s="9">
        <f>Inputs!$B$40*B21+Inputs!$C$40*C21+Inputs!$D$40*D21+Inputs!$E$40*G21</f>
        <v>641924.81502480863</v>
      </c>
      <c r="I21" s="9">
        <f>Inputs!$B$41*B21+Inputs!$C$41*C21+Inputs!$D$41*D21+Inputs!$E$41*G21</f>
        <v>2704188.7597663468</v>
      </c>
      <c r="J21" s="9">
        <f>Inputs!$B$42*B21+Inputs!$C$42*C21+Inputs!$D$42*D21+Inputs!$E$42*G21</f>
        <v>1048810.1222448011</v>
      </c>
      <c r="K21" s="9">
        <f>Inputs!$B$43*B21+Inputs!$C$43*C21+Inputs!$D$43*D21+Inputs!$E$43*G21</f>
        <v>1398998.6674087802</v>
      </c>
      <c r="L21" s="9">
        <f t="shared" si="1"/>
        <v>3047993.2208736828</v>
      </c>
      <c r="M21" s="9">
        <f>SQRT(MAX(B21^2+D21^2+E21^2+2*Inputs!$D$40*B21*D21+2*Inputs!$E$40*B21*E21+2*Inputs!$E$42*D21*E21,0))</f>
        <v>1400634.3321080916</v>
      </c>
      <c r="N21" s="9">
        <f>SQRT(MAX(C21^2+F21^2+2*Inputs!$E$41*C21*F21,0))</f>
        <v>2935178.6697644494</v>
      </c>
      <c r="O21" s="9">
        <f t="shared" si="2"/>
        <v>4335813.0018725414</v>
      </c>
      <c r="P21" s="11">
        <f t="shared" si="3"/>
        <v>0.29701921656738373</v>
      </c>
      <c r="Q21" s="9">
        <f t="shared" si="4"/>
        <v>276340.31644382968</v>
      </c>
      <c r="R21" s="9">
        <f t="shared" si="5"/>
        <v>2592816.3661518116</v>
      </c>
      <c r="S21" s="9">
        <f t="shared" si="6"/>
        <v>67910.532447805599</v>
      </c>
      <c r="T21" s="9">
        <f t="shared" si="7"/>
        <v>110926.00583023518</v>
      </c>
      <c r="U21" s="9">
        <f t="shared" si="8"/>
        <v>432541.2151959769</v>
      </c>
      <c r="V21" s="9">
        <f t="shared" si="9"/>
        <v>2615452.0056777052</v>
      </c>
      <c r="W21" s="14">
        <f t="shared" si="10"/>
        <v>0</v>
      </c>
      <c r="X21" s="9">
        <f t="shared" si="11"/>
        <v>984619.02008796541</v>
      </c>
      <c r="Y21" s="9">
        <f t="shared" si="12"/>
        <v>2063374.2007857172</v>
      </c>
    </row>
    <row r="22" spans="1:25" x14ac:dyDescent="0.3">
      <c r="A22" s="6">
        <v>16</v>
      </c>
      <c r="B22" s="28">
        <f>Term!U22</f>
        <v>1093474.8830767602</v>
      </c>
      <c r="C22" s="28">
        <f>Annuity!O22</f>
        <v>2844756.7083344217</v>
      </c>
      <c r="D22" s="28">
        <f>Term!V22</f>
        <v>128736.25281547879</v>
      </c>
      <c r="E22" s="28">
        <f>Term!W22</f>
        <v>154162.03202533346</v>
      </c>
      <c r="F22" s="28">
        <f>Annuity!P22</f>
        <v>47094.807612568162</v>
      </c>
      <c r="G22" s="9">
        <f t="shared" si="0"/>
        <v>201256.83963790163</v>
      </c>
      <c r="H22" s="9">
        <f>Inputs!$B$40*B22+Inputs!$C$40*C22+Inputs!$D$40*D22+Inputs!$E$40*G22</f>
        <v>432599.91590263019</v>
      </c>
      <c r="I22" s="9">
        <f>Inputs!$B$41*B22+Inputs!$C$41*C22+Inputs!$D$41*D22+Inputs!$E$41*G22</f>
        <v>2653886.2606785768</v>
      </c>
      <c r="J22" s="9">
        <f>Inputs!$B$42*B22+Inputs!$C$42*C22+Inputs!$D$42*D22+Inputs!$E$42*G22</f>
        <v>940553.84971803508</v>
      </c>
      <c r="K22" s="9">
        <f>Inputs!$B$43*B22+Inputs!$C$43*C22+Inputs!$D$43*D22+Inputs!$E$43*G22</f>
        <v>1250182.8638984365</v>
      </c>
      <c r="L22" s="9">
        <f t="shared" si="1"/>
        <v>2897479.7869914663</v>
      </c>
      <c r="M22" s="9">
        <f>SQRT(MAX(B22^2+D22^2+E22^2+2*Inputs!$D$40*B22*D22+2*Inputs!$E$40*B22*E22+2*Inputs!$E$42*D22*E22,0))</f>
        <v>1157652.224171031</v>
      </c>
      <c r="N22" s="9">
        <f>SQRT(MAX(C22^2+F22^2+2*Inputs!$E$41*C22*F22,0))</f>
        <v>2856894.3427189505</v>
      </c>
      <c r="O22" s="9">
        <f t="shared" si="2"/>
        <v>4014546.5668899817</v>
      </c>
      <c r="P22" s="11">
        <f t="shared" si="3"/>
        <v>0.27825478202483345</v>
      </c>
      <c r="Q22" s="9">
        <f t="shared" si="4"/>
        <v>163258.13370101622</v>
      </c>
      <c r="R22" s="9">
        <f t="shared" si="5"/>
        <v>2605595.6549263652</v>
      </c>
      <c r="S22" s="9">
        <f t="shared" si="6"/>
        <v>41789.205476942094</v>
      </c>
      <c r="T22" s="9">
        <f t="shared" si="7"/>
        <v>86836.792887142685</v>
      </c>
      <c r="U22" s="9">
        <f t="shared" si="8"/>
        <v>271564.01741920726</v>
      </c>
      <c r="V22" s="9">
        <f t="shared" si="9"/>
        <v>2625915.7695722589</v>
      </c>
      <c r="W22" s="14">
        <f t="shared" si="10"/>
        <v>0</v>
      </c>
      <c r="X22" s="9">
        <f t="shared" si="11"/>
        <v>835529.95687375718</v>
      </c>
      <c r="Y22" s="9">
        <f t="shared" si="12"/>
        <v>2061949.830117709</v>
      </c>
    </row>
    <row r="23" spans="1:25" x14ac:dyDescent="0.3">
      <c r="A23" s="6">
        <v>17</v>
      </c>
      <c r="B23" s="28">
        <f>Term!U23</f>
        <v>854717.00510080438</v>
      </c>
      <c r="C23" s="28">
        <f>Annuity!O23</f>
        <v>2756192.8886868181</v>
      </c>
      <c r="D23" s="28">
        <f>Term!V23</f>
        <v>69649.437255041048</v>
      </c>
      <c r="E23" s="28">
        <f>Term!W23</f>
        <v>115846.9404301547</v>
      </c>
      <c r="F23" s="28">
        <f>Annuity!P23</f>
        <v>44783.899336839</v>
      </c>
      <c r="G23" s="9">
        <f t="shared" si="0"/>
        <v>160630.83976699371</v>
      </c>
      <c r="H23" s="9">
        <f>Inputs!$B$40*B23+Inputs!$C$40*C23+Inputs!$D$40*D23+Inputs!$E$40*G23</f>
        <v>205826.49287084828</v>
      </c>
      <c r="I23" s="9">
        <f>Inputs!$B$41*B23+Inputs!$C$41*C23+Inputs!$D$41*D23+Inputs!$E$41*G23</f>
        <v>2600083.7066671257</v>
      </c>
      <c r="J23" s="9">
        <f>Inputs!$B$42*B23+Inputs!$C$42*C23+Inputs!$D$42*D23+Inputs!$E$42*G23</f>
        <v>839013.07931024244</v>
      </c>
      <c r="K23" s="9">
        <f>Inputs!$B$43*B23+Inputs!$C$43*C23+Inputs!$D$43*D23+Inputs!$E$43*G23</f>
        <v>1098183.0318414199</v>
      </c>
      <c r="L23" s="9">
        <f t="shared" si="1"/>
        <v>2752652.2623298238</v>
      </c>
      <c r="M23" s="9">
        <f>SQRT(MAX(B23^2+D23^2+E23^2+2*Inputs!$D$40*B23*D23+2*Inputs!$E$40*B23*E23+2*Inputs!$E$42*D23*E23,0))</f>
        <v>897991.96306059184</v>
      </c>
      <c r="N23" s="9">
        <f>SQRT(MAX(C23^2+F23^2+2*Inputs!$E$41*C23*F23,0))</f>
        <v>2767728.5578118982</v>
      </c>
      <c r="O23" s="9">
        <f t="shared" si="2"/>
        <v>3665720.52087249</v>
      </c>
      <c r="P23" s="11">
        <f t="shared" si="3"/>
        <v>0.24908288925565547</v>
      </c>
      <c r="Q23" s="9">
        <f t="shared" si="4"/>
        <v>63910.507681806957</v>
      </c>
      <c r="R23" s="9">
        <f t="shared" si="5"/>
        <v>2603428.0902015809</v>
      </c>
      <c r="S23" s="9">
        <f t="shared" si="6"/>
        <v>21229.266632508479</v>
      </c>
      <c r="T23" s="9">
        <f t="shared" si="7"/>
        <v>64084.397813926968</v>
      </c>
      <c r="U23" s="9">
        <f t="shared" si="8"/>
        <v>131357.43355597375</v>
      </c>
      <c r="V23" s="9">
        <f t="shared" si="9"/>
        <v>2621294.8287738496</v>
      </c>
      <c r="W23" s="14">
        <f t="shared" si="10"/>
        <v>0</v>
      </c>
      <c r="X23" s="9">
        <f t="shared" si="11"/>
        <v>674317.53037310182</v>
      </c>
      <c r="Y23" s="9">
        <f t="shared" si="12"/>
        <v>2078334.731956722</v>
      </c>
    </row>
    <row r="24" spans="1:25" x14ac:dyDescent="0.3">
      <c r="A24" s="6">
        <v>18</v>
      </c>
      <c r="B24" s="28">
        <f>Term!U24</f>
        <v>594136.07195761788</v>
      </c>
      <c r="C24" s="28">
        <f>Annuity!O24</f>
        <v>2656814.8261413663</v>
      </c>
      <c r="D24" s="28">
        <f>Term!V24</f>
        <v>25019.117528212097</v>
      </c>
      <c r="E24" s="28">
        <f>Term!W24</f>
        <v>77393.769310743111</v>
      </c>
      <c r="F24" s="28">
        <f>Annuity!P24</f>
        <v>42391.360090364309</v>
      </c>
      <c r="G24" s="9">
        <f t="shared" si="0"/>
        <v>119785.12940110742</v>
      </c>
      <c r="H24" s="9">
        <f>Inputs!$B$40*B24+Inputs!$C$40*C24+Inputs!$D$40*D24+Inputs!$E$40*G24</f>
        <v>-40121.352227446827</v>
      </c>
      <c r="I24" s="9">
        <f>Inputs!$B$41*B24+Inputs!$C$41*C24+Inputs!$D$41*D24+Inputs!$E$41*G24</f>
        <v>2544481.8698842917</v>
      </c>
      <c r="J24" s="9">
        <f>Inputs!$B$42*B24+Inputs!$C$42*C24+Inputs!$D$42*D24+Inputs!$E$42*G24</f>
        <v>749115.38876410737</v>
      </c>
      <c r="K24" s="9">
        <f>Inputs!$B$43*B24+Inputs!$C$43*C24+Inputs!$D$43*D24+Inputs!$E$43*G24</f>
        <v>945032.41268995951</v>
      </c>
      <c r="L24" s="9">
        <f t="shared" si="1"/>
        <v>2620748.4904008699</v>
      </c>
      <c r="M24" s="9">
        <f>SQRT(MAX(B24^2+D24^2+E24^2+2*Inputs!$D$40*B24*D24+2*Inputs!$E$40*B24*E24+2*Inputs!$E$42*D24*E24,0))</f>
        <v>620113.66911858914</v>
      </c>
      <c r="N24" s="9">
        <f>SQRT(MAX(C24^2+F24^2+2*Inputs!$E$41*C24*F24,0))</f>
        <v>2667728.4428534093</v>
      </c>
      <c r="O24" s="9">
        <f t="shared" si="2"/>
        <v>3287842.1119719986</v>
      </c>
      <c r="P24" s="11">
        <f t="shared" si="3"/>
        <v>0.20289709750417906</v>
      </c>
      <c r="Q24" s="9">
        <f t="shared" si="4"/>
        <v>-9095.7002174585214</v>
      </c>
      <c r="R24" s="9">
        <f t="shared" si="5"/>
        <v>2579498.636178724</v>
      </c>
      <c r="S24" s="9">
        <f t="shared" si="6"/>
        <v>7151.4706666165785</v>
      </c>
      <c r="T24" s="9">
        <f t="shared" si="7"/>
        <v>43194.083772988211</v>
      </c>
      <c r="U24" s="9">
        <f t="shared" si="8"/>
        <v>25963.683324732876</v>
      </c>
      <c r="V24" s="9">
        <f t="shared" si="9"/>
        <v>2594784.8070761375</v>
      </c>
      <c r="W24" s="14">
        <f t="shared" si="10"/>
        <v>0</v>
      </c>
      <c r="X24" s="9">
        <f t="shared" si="11"/>
        <v>494294.40553176054</v>
      </c>
      <c r="Y24" s="9">
        <f t="shared" si="12"/>
        <v>2126454.0848691096</v>
      </c>
    </row>
    <row r="25" spans="1:25" x14ac:dyDescent="0.3">
      <c r="A25" s="6">
        <v>19</v>
      </c>
      <c r="B25" s="28">
        <f>Term!U25</f>
        <v>309891.39567131794</v>
      </c>
      <c r="C25" s="28">
        <f>Annuity!O25</f>
        <v>2546838.3860748224</v>
      </c>
      <c r="D25" s="28">
        <f>Term!V25</f>
        <v>0</v>
      </c>
      <c r="E25" s="28">
        <f>Term!W25</f>
        <v>38784.10088949433</v>
      </c>
      <c r="F25" s="28">
        <f>Annuity!P25</f>
        <v>39926.749377892753</v>
      </c>
      <c r="G25" s="9">
        <f t="shared" si="0"/>
        <v>78710.850267387083</v>
      </c>
      <c r="H25" s="9">
        <f>Inputs!$B$40*B25+Inputs!$C$40*C25+Inputs!$D$40*D25+Inputs!$E$40*G25</f>
        <v>-307140.48828054091</v>
      </c>
      <c r="I25" s="9">
        <f>Inputs!$B$41*B25+Inputs!$C$41*C25+Inputs!$D$41*D25+Inputs!$E$41*G25</f>
        <v>2489043.24972384</v>
      </c>
      <c r="J25" s="9">
        <f>Inputs!$B$42*B25+Inputs!$C$42*C25+Inputs!$D$42*D25+Inputs!$E$42*G25</f>
        <v>676065.0216523991</v>
      </c>
      <c r="K25" s="9">
        <f>Inputs!$B$43*B25+Inputs!$C$43*C25+Inputs!$D$43*D25+Inputs!$E$43*G25</f>
        <v>792893.29570392217</v>
      </c>
      <c r="L25" s="9">
        <f t="shared" si="1"/>
        <v>2511258.6493415679</v>
      </c>
      <c r="M25" s="9">
        <f>SQRT(MAX(B25^2+D25^2+E25^2+2*Inputs!$D$40*B25*D25+2*Inputs!$E$40*B25*E25+2*Inputs!$E$42*D25*E25,0))</f>
        <v>321786.12954907661</v>
      </c>
      <c r="N25" s="9">
        <f>SQRT(MAX(C25^2+F25^2+2*Inputs!$E$41*C25*F25,0))</f>
        <v>2557112.3164760466</v>
      </c>
      <c r="O25" s="9">
        <f t="shared" si="2"/>
        <v>2878898.4460251234</v>
      </c>
      <c r="P25" s="11">
        <f t="shared" si="3"/>
        <v>0.12770155098425007</v>
      </c>
      <c r="Q25" s="9">
        <f t="shared" si="4"/>
        <v>-37901.390446333513</v>
      </c>
      <c r="R25" s="9">
        <f t="shared" si="5"/>
        <v>2524308.2366920593</v>
      </c>
      <c r="S25" s="9">
        <f t="shared" si="6"/>
        <v>0</v>
      </c>
      <c r="T25" s="9">
        <f t="shared" si="7"/>
        <v>24851.803095841886</v>
      </c>
      <c r="U25" s="9">
        <f t="shared" si="8"/>
        <v>-25655.87619663748</v>
      </c>
      <c r="V25" s="9">
        <f t="shared" si="9"/>
        <v>2536914.5255382052</v>
      </c>
      <c r="W25" s="14">
        <f t="shared" si="10"/>
        <v>0</v>
      </c>
      <c r="X25" s="9">
        <f t="shared" si="11"/>
        <v>280693.54172044073</v>
      </c>
      <c r="Y25" s="9">
        <f t="shared" si="12"/>
        <v>2230565.1076211268</v>
      </c>
    </row>
    <row r="26" spans="1:25" x14ac:dyDescent="0.3">
      <c r="A26" s="6">
        <v>20</v>
      </c>
      <c r="B26" s="28">
        <v>0</v>
      </c>
      <c r="C26" s="28">
        <f>Annuity!O26</f>
        <v>2426672.7402463187</v>
      </c>
      <c r="D26" s="28">
        <v>0</v>
      </c>
      <c r="E26" s="28">
        <v>0</v>
      </c>
      <c r="F26" s="28">
        <f>Annuity!P26</f>
        <v>37401.387086552655</v>
      </c>
      <c r="G26" s="9">
        <f t="shared" si="0"/>
        <v>37401.387086552655</v>
      </c>
      <c r="H26" s="9">
        <f>Inputs!$B$40*B26+Inputs!$C$40*C26+Inputs!$D$40*D26+Inputs!$E$40*G26</f>
        <v>-597317.83828994154</v>
      </c>
      <c r="I26" s="9">
        <f>Inputs!$B$41*B26+Inputs!$C$41*C26+Inputs!$D$41*D26+Inputs!$E$41*G26</f>
        <v>2436023.0870179571</v>
      </c>
      <c r="J26" s="9">
        <f>Inputs!$B$42*B26+Inputs!$C$42*C26+Inputs!$D$42*D26+Inputs!$E$42*G26</f>
        <v>625368.87860485597</v>
      </c>
      <c r="K26" s="9">
        <f>Inputs!$B$43*B26+Inputs!$C$43*C26+Inputs!$D$43*D26+Inputs!$E$43*G26</f>
        <v>644069.57214813237</v>
      </c>
      <c r="L26" s="9">
        <f t="shared" si="1"/>
        <v>2436292.2475055708</v>
      </c>
      <c r="M26" s="9">
        <f>SQRT(MAX(B26^2+D26^2+E26^2+2*Inputs!$D$40*B26*D26+2*Inputs!$E$40*B26*E26+2*Inputs!$E$42*D26*E26,0))</f>
        <v>0</v>
      </c>
      <c r="N26" s="9">
        <f>SQRT(MAX(C26^2+F26^2+2*Inputs!$E$41*C26*F26,0))</f>
        <v>2436292.2475055708</v>
      </c>
      <c r="O26" s="9">
        <f t="shared" si="2"/>
        <v>2436292.2475055708</v>
      </c>
      <c r="P26" s="11">
        <f t="shared" si="3"/>
        <v>0</v>
      </c>
      <c r="Q26" s="9">
        <f t="shared" si="4"/>
        <v>0</v>
      </c>
      <c r="R26" s="9">
        <f t="shared" si="5"/>
        <v>2426404.642517603</v>
      </c>
      <c r="S26" s="9">
        <f t="shared" si="6"/>
        <v>0</v>
      </c>
      <c r="T26" s="9">
        <f t="shared" si="7"/>
        <v>9887.6049879675084</v>
      </c>
      <c r="U26" s="9">
        <f t="shared" si="8"/>
        <v>0</v>
      </c>
      <c r="V26" s="9">
        <f t="shared" si="9"/>
        <v>2436292.2475055703</v>
      </c>
      <c r="W26" s="14">
        <f t="shared" si="10"/>
        <v>0</v>
      </c>
      <c r="X26" s="9">
        <f t="shared" si="11"/>
        <v>0</v>
      </c>
      <c r="Y26" s="9">
        <f t="shared" si="12"/>
        <v>2436292.2475055708</v>
      </c>
    </row>
    <row r="27" spans="1:25" x14ac:dyDescent="0.3">
      <c r="A27" s="6">
        <v>21</v>
      </c>
      <c r="B27" s="28">
        <v>0</v>
      </c>
      <c r="C27" s="28">
        <f>Annuity!O27</f>
        <v>2296940.9348039972</v>
      </c>
      <c r="D27" s="28">
        <v>0</v>
      </c>
      <c r="E27" s="28">
        <v>0</v>
      </c>
      <c r="F27" s="28">
        <f>Annuity!P27</f>
        <v>34828.426566135407</v>
      </c>
      <c r="G27" s="9">
        <f t="shared" si="0"/>
        <v>34828.426566135407</v>
      </c>
      <c r="H27" s="9">
        <f>Inputs!$B$40*B27+Inputs!$C$40*C27+Inputs!$D$40*D27+Inputs!$E$40*G27</f>
        <v>-565528.12705946539</v>
      </c>
      <c r="I27" s="9">
        <f>Inputs!$B$41*B27+Inputs!$C$41*C27+Inputs!$D$41*D27+Inputs!$E$41*G27</f>
        <v>2305648.041445531</v>
      </c>
      <c r="J27" s="9">
        <f>Inputs!$B$42*B27+Inputs!$C$42*C27+Inputs!$D$42*D27+Inputs!$E$42*G27</f>
        <v>591649.44698406698</v>
      </c>
      <c r="K27" s="9">
        <f>Inputs!$B$43*B27+Inputs!$C$43*C27+Inputs!$D$43*D27+Inputs!$E$43*G27</f>
        <v>609063.66026713466</v>
      </c>
      <c r="L27" s="9">
        <f t="shared" si="1"/>
        <v>2305894.6412645611</v>
      </c>
      <c r="M27" s="9">
        <f>SQRT(MAX(B27^2+D27^2+E27^2+2*Inputs!$D$40*B27*D27+2*Inputs!$E$40*B27*E27+2*Inputs!$E$42*D27*E27,0))</f>
        <v>0</v>
      </c>
      <c r="N27" s="9">
        <f>SQRT(MAX(C27^2+F27^2+2*Inputs!$E$41*C27*F27,0))</f>
        <v>2305894.6412645611</v>
      </c>
      <c r="O27" s="9">
        <f t="shared" si="2"/>
        <v>2305894.6412645611</v>
      </c>
      <c r="P27" s="11">
        <f t="shared" si="3"/>
        <v>0</v>
      </c>
      <c r="Q27" s="9">
        <f t="shared" si="4"/>
        <v>0</v>
      </c>
      <c r="R27" s="9">
        <f t="shared" si="5"/>
        <v>2296695.2925232491</v>
      </c>
      <c r="S27" s="9">
        <f t="shared" si="6"/>
        <v>0</v>
      </c>
      <c r="T27" s="9">
        <f t="shared" si="7"/>
        <v>9199.3487413121366</v>
      </c>
      <c r="U27" s="9">
        <f t="shared" si="8"/>
        <v>0</v>
      </c>
      <c r="V27" s="9">
        <f t="shared" si="9"/>
        <v>2305894.6412645611</v>
      </c>
      <c r="W27" s="14">
        <f t="shared" si="10"/>
        <v>0</v>
      </c>
      <c r="X27" s="9">
        <f t="shared" si="11"/>
        <v>0</v>
      </c>
      <c r="Y27" s="9">
        <f t="shared" si="12"/>
        <v>2305894.6412645611</v>
      </c>
    </row>
    <row r="28" spans="1:25" x14ac:dyDescent="0.3">
      <c r="A28" s="6">
        <v>22</v>
      </c>
      <c r="B28" s="28">
        <v>0</v>
      </c>
      <c r="C28" s="28">
        <f>Annuity!O28</f>
        <v>2158496.9526530392</v>
      </c>
      <c r="D28" s="28">
        <v>0</v>
      </c>
      <c r="E28" s="28">
        <v>0</v>
      </c>
      <c r="F28" s="28">
        <f>Annuity!P28</f>
        <v>32222.88719114997</v>
      </c>
      <c r="G28" s="9">
        <f t="shared" si="0"/>
        <v>32222.88719114997</v>
      </c>
      <c r="H28" s="9">
        <f>Inputs!$B$40*B28+Inputs!$C$40*C28+Inputs!$D$40*D28+Inputs!$E$40*G28</f>
        <v>-531568.51636547234</v>
      </c>
      <c r="I28" s="9">
        <f>Inputs!$B$41*B28+Inputs!$C$41*C28+Inputs!$D$41*D28+Inputs!$E$41*G28</f>
        <v>2166552.6744508268</v>
      </c>
      <c r="J28" s="9">
        <f>Inputs!$B$42*B28+Inputs!$C$42*C28+Inputs!$D$42*D28+Inputs!$E$42*G28</f>
        <v>555735.68175883475</v>
      </c>
      <c r="K28" s="9">
        <f>Inputs!$B$43*B28+Inputs!$C$43*C28+Inputs!$D$43*D28+Inputs!$E$43*G28</f>
        <v>571847.1253544098</v>
      </c>
      <c r="L28" s="9">
        <f t="shared" si="1"/>
        <v>2166777.3099641046</v>
      </c>
      <c r="M28" s="9">
        <f>SQRT(MAX(B28^2+D28^2+E28^2+2*Inputs!$D$40*B28*D28+2*Inputs!$E$40*B28*E28+2*Inputs!$E$42*D28*E28,0))</f>
        <v>0</v>
      </c>
      <c r="N28" s="9">
        <f>SQRT(MAX(C28^2+F28^2+2*Inputs!$E$41*C28*F28,0))</f>
        <v>2166777.3099641046</v>
      </c>
      <c r="O28" s="9">
        <f t="shared" si="2"/>
        <v>2166777.3099641046</v>
      </c>
      <c r="P28" s="11">
        <f t="shared" si="3"/>
        <v>0</v>
      </c>
      <c r="Q28" s="9">
        <f t="shared" si="4"/>
        <v>0</v>
      </c>
      <c r="R28" s="9">
        <f t="shared" si="5"/>
        <v>2158273.1755862231</v>
      </c>
      <c r="S28" s="9">
        <f t="shared" si="6"/>
        <v>0</v>
      </c>
      <c r="T28" s="9">
        <f t="shared" si="7"/>
        <v>8504.1343778811315</v>
      </c>
      <c r="U28" s="9">
        <f t="shared" si="8"/>
        <v>0</v>
      </c>
      <c r="V28" s="9">
        <f t="shared" si="9"/>
        <v>2166777.3099641041</v>
      </c>
      <c r="W28" s="14">
        <f t="shared" si="10"/>
        <v>0</v>
      </c>
      <c r="X28" s="9">
        <f t="shared" si="11"/>
        <v>0</v>
      </c>
      <c r="Y28" s="9">
        <f t="shared" si="12"/>
        <v>2166777.3099641046</v>
      </c>
    </row>
    <row r="29" spans="1:25" x14ac:dyDescent="0.3">
      <c r="A29" s="6">
        <v>23</v>
      </c>
      <c r="B29" s="28">
        <v>0</v>
      </c>
      <c r="C29" s="28">
        <f>Annuity!O29</f>
        <v>2012437.4479136032</v>
      </c>
      <c r="D29" s="28">
        <v>0</v>
      </c>
      <c r="E29" s="28">
        <v>0</v>
      </c>
      <c r="F29" s="28">
        <f>Annuity!P29</f>
        <v>29601.632659939914</v>
      </c>
      <c r="G29" s="9">
        <f t="shared" si="0"/>
        <v>29601.632659939914</v>
      </c>
      <c r="H29" s="9">
        <f>Inputs!$B$40*B29+Inputs!$C$40*C29+Inputs!$D$40*D29+Inputs!$E$40*G29</f>
        <v>-495708.95381341584</v>
      </c>
      <c r="I29" s="9">
        <f>Inputs!$B$41*B29+Inputs!$C$41*C29+Inputs!$D$41*D29+Inputs!$E$41*G29</f>
        <v>2019837.8560785882</v>
      </c>
      <c r="J29" s="9">
        <f>Inputs!$B$42*B29+Inputs!$C$42*C29+Inputs!$D$42*D29+Inputs!$E$42*G29</f>
        <v>517910.17830837076</v>
      </c>
      <c r="K29" s="9">
        <f>Inputs!$B$43*B29+Inputs!$C$43*C29+Inputs!$D$43*D29+Inputs!$E$43*G29</f>
        <v>532710.99463834066</v>
      </c>
      <c r="L29" s="9">
        <f t="shared" si="1"/>
        <v>2020041.2014271573</v>
      </c>
      <c r="M29" s="9">
        <f>SQRT(MAX(B29^2+D29^2+E29^2+2*Inputs!$D$40*B29*D29+2*Inputs!$E$40*B29*E29+2*Inputs!$E$42*D29*E29,0))</f>
        <v>0</v>
      </c>
      <c r="N29" s="9">
        <f>SQRT(MAX(C29^2+F29^2+2*Inputs!$E$41*C29*F29,0))</f>
        <v>2020041.201427157</v>
      </c>
      <c r="O29" s="9">
        <f t="shared" si="2"/>
        <v>2020041.201427157</v>
      </c>
      <c r="P29" s="11">
        <f t="shared" si="3"/>
        <v>-2.2204460492503131E-16</v>
      </c>
      <c r="Q29" s="9">
        <f t="shared" si="4"/>
        <v>0</v>
      </c>
      <c r="R29" s="9">
        <f t="shared" si="5"/>
        <v>2012234.8679889806</v>
      </c>
      <c r="S29" s="9">
        <f t="shared" si="6"/>
        <v>0</v>
      </c>
      <c r="T29" s="9">
        <f t="shared" si="7"/>
        <v>7806.3334381766645</v>
      </c>
      <c r="U29" s="9">
        <f t="shared" si="8"/>
        <v>0</v>
      </c>
      <c r="V29" s="9">
        <f t="shared" si="9"/>
        <v>2020041.2014271573</v>
      </c>
      <c r="W29" s="14">
        <f t="shared" si="10"/>
        <v>0</v>
      </c>
      <c r="X29" s="9">
        <f t="shared" si="11"/>
        <v>0</v>
      </c>
      <c r="Y29" s="9">
        <f t="shared" si="12"/>
        <v>2020041.2014271573</v>
      </c>
    </row>
    <row r="30" spans="1:25" x14ac:dyDescent="0.3">
      <c r="A30" s="6">
        <v>24</v>
      </c>
      <c r="B30" s="28">
        <v>0</v>
      </c>
      <c r="C30" s="28">
        <f>Annuity!O30</f>
        <v>1860106.0907707312</v>
      </c>
      <c r="D30" s="28">
        <v>0</v>
      </c>
      <c r="E30" s="28">
        <v>0</v>
      </c>
      <c r="F30" s="28">
        <f>Annuity!P30</f>
        <v>26983.279787827221</v>
      </c>
      <c r="G30" s="9">
        <f t="shared" si="0"/>
        <v>26983.279787827221</v>
      </c>
      <c r="H30" s="9">
        <f>Inputs!$B$40*B30+Inputs!$C$40*C30+Inputs!$D$40*D30+Inputs!$E$40*G30</f>
        <v>-458280.70274572598</v>
      </c>
      <c r="I30" s="9">
        <f>Inputs!$B$41*B30+Inputs!$C$41*C30+Inputs!$D$41*D30+Inputs!$E$41*G30</f>
        <v>1866851.910717688</v>
      </c>
      <c r="J30" s="9">
        <f>Inputs!$B$42*B30+Inputs!$C$42*C30+Inputs!$D$42*D30+Inputs!$E$42*G30</f>
        <v>478518.16258659639</v>
      </c>
      <c r="K30" s="9">
        <f>Inputs!$B$43*B30+Inputs!$C$43*C30+Inputs!$D$43*D30+Inputs!$E$43*G30</f>
        <v>492009.80248051003</v>
      </c>
      <c r="L30" s="9">
        <f t="shared" si="1"/>
        <v>1867034.7205801059</v>
      </c>
      <c r="M30" s="9">
        <f>SQRT(MAX(B30^2+D30^2+E30^2+2*Inputs!$D$40*B30*D30+2*Inputs!$E$40*B30*E30+2*Inputs!$E$42*D30*E30,0))</f>
        <v>0</v>
      </c>
      <c r="N30" s="9">
        <f>SQRT(MAX(C30^2+F30^2+2*Inputs!$E$41*C30*F30,0))</f>
        <v>1867034.7205801059</v>
      </c>
      <c r="O30" s="9">
        <f t="shared" si="2"/>
        <v>1867034.7205801059</v>
      </c>
      <c r="P30" s="11">
        <f t="shared" si="3"/>
        <v>0</v>
      </c>
      <c r="Q30" s="9">
        <f t="shared" si="4"/>
        <v>0</v>
      </c>
      <c r="R30" s="9">
        <f t="shared" si="5"/>
        <v>1859923.9593219755</v>
      </c>
      <c r="S30" s="9">
        <f t="shared" si="6"/>
        <v>0</v>
      </c>
      <c r="T30" s="9">
        <f t="shared" si="7"/>
        <v>7110.7612581303338</v>
      </c>
      <c r="U30" s="9">
        <f t="shared" si="8"/>
        <v>0</v>
      </c>
      <c r="V30" s="9">
        <f t="shared" si="9"/>
        <v>1867034.7205801059</v>
      </c>
      <c r="W30" s="14">
        <f t="shared" si="10"/>
        <v>0</v>
      </c>
      <c r="X30" s="9">
        <f t="shared" si="11"/>
        <v>0</v>
      </c>
      <c r="Y30" s="9">
        <f t="shared" si="12"/>
        <v>1867034.7205801059</v>
      </c>
    </row>
    <row r="31" spans="1:25" x14ac:dyDescent="0.3">
      <c r="A31" s="6">
        <v>25</v>
      </c>
      <c r="B31" s="28">
        <v>0</v>
      </c>
      <c r="C31" s="28">
        <f>Annuity!O31</f>
        <v>1703088.3105109017</v>
      </c>
      <c r="D31" s="28">
        <v>0</v>
      </c>
      <c r="E31" s="28">
        <v>0</v>
      </c>
      <c r="F31" s="28">
        <f>Annuity!P31</f>
        <v>24388.021751229124</v>
      </c>
      <c r="G31" s="9">
        <f t="shared" si="0"/>
        <v>24388.021751229124</v>
      </c>
      <c r="H31" s="9">
        <f>Inputs!$B$40*B31+Inputs!$C$40*C31+Inputs!$D$40*D31+Inputs!$E$40*G31</f>
        <v>-419675.07218991814</v>
      </c>
      <c r="I31" s="9">
        <f>Inputs!$B$41*B31+Inputs!$C$41*C31+Inputs!$D$41*D31+Inputs!$E$41*G31</f>
        <v>1709185.3159487089</v>
      </c>
      <c r="J31" s="9">
        <f>Inputs!$B$42*B31+Inputs!$C$42*C31+Inputs!$D$42*D31+Inputs!$E$42*G31</f>
        <v>437966.08850333997</v>
      </c>
      <c r="K31" s="9">
        <f>Inputs!$B$43*B31+Inputs!$C$43*C31+Inputs!$D$43*D31+Inputs!$E$43*G31</f>
        <v>450160.09937895456</v>
      </c>
      <c r="L31" s="9">
        <f t="shared" si="1"/>
        <v>1709348.4274378696</v>
      </c>
      <c r="M31" s="9">
        <f>SQRT(MAX(B31^2+D31^2+E31^2+2*Inputs!$D$40*B31*D31+2*Inputs!$E$40*B31*E31+2*Inputs!$E$42*D31*E31,0))</f>
        <v>0</v>
      </c>
      <c r="N31" s="9">
        <f>SQRT(MAX(C31^2+F31^2+2*Inputs!$E$41*C31*F31,0))</f>
        <v>1709348.4274378696</v>
      </c>
      <c r="O31" s="9">
        <f t="shared" si="2"/>
        <v>1709348.4274378696</v>
      </c>
      <c r="P31" s="11">
        <f t="shared" si="3"/>
        <v>0</v>
      </c>
      <c r="Q31" s="9">
        <f t="shared" si="4"/>
        <v>0</v>
      </c>
      <c r="R31" s="9">
        <f t="shared" si="5"/>
        <v>1702925.7963821024</v>
      </c>
      <c r="S31" s="9">
        <f t="shared" si="6"/>
        <v>0</v>
      </c>
      <c r="T31" s="9">
        <f t="shared" si="7"/>
        <v>6422.6310557672705</v>
      </c>
      <c r="U31" s="9">
        <f t="shared" si="8"/>
        <v>0</v>
      </c>
      <c r="V31" s="9">
        <f t="shared" si="9"/>
        <v>1709348.4274378696</v>
      </c>
      <c r="W31" s="14">
        <f t="shared" si="10"/>
        <v>0</v>
      </c>
      <c r="X31" s="9">
        <f t="shared" si="11"/>
        <v>0</v>
      </c>
      <c r="Y31" s="9">
        <f t="shared" si="12"/>
        <v>1709348.4274378696</v>
      </c>
    </row>
    <row r="32" spans="1:25" x14ac:dyDescent="0.3">
      <c r="A32" s="6">
        <v>26</v>
      </c>
      <c r="B32" s="28">
        <v>0</v>
      </c>
      <c r="C32" s="28">
        <f>Annuity!O32</f>
        <v>1543194.2213714062</v>
      </c>
      <c r="D32" s="28">
        <v>0</v>
      </c>
      <c r="E32" s="28">
        <v>0</v>
      </c>
      <c r="F32" s="28">
        <f>Annuity!P32</f>
        <v>21837.350090119064</v>
      </c>
      <c r="G32" s="9">
        <f t="shared" si="0"/>
        <v>21837.350090119064</v>
      </c>
      <c r="H32" s="9">
        <f>Inputs!$B$40*B32+Inputs!$C$40*C32+Inputs!$D$40*D32+Inputs!$E$40*G32</f>
        <v>-380339.21782032179</v>
      </c>
      <c r="I32" s="9">
        <f>Inputs!$B$41*B32+Inputs!$C$41*C32+Inputs!$D$41*D32+Inputs!$E$41*G32</f>
        <v>1548653.558893936</v>
      </c>
      <c r="J32" s="9">
        <f>Inputs!$B$42*B32+Inputs!$C$42*C32+Inputs!$D$42*D32+Inputs!$E$42*G32</f>
        <v>396717.23038791108</v>
      </c>
      <c r="K32" s="9">
        <f>Inputs!$B$43*B32+Inputs!$C$43*C32+Inputs!$D$43*D32+Inputs!$E$43*G32</f>
        <v>407635.90543297061</v>
      </c>
      <c r="L32" s="9">
        <f t="shared" si="1"/>
        <v>1548797.8922272678</v>
      </c>
      <c r="M32" s="9">
        <f>SQRT(MAX(B32^2+D32^2+E32^2+2*Inputs!$D$40*B32*D32+2*Inputs!$E$40*B32*E32+2*Inputs!$E$42*D32*E32,0))</f>
        <v>0</v>
      </c>
      <c r="N32" s="9">
        <f>SQRT(MAX(C32^2+F32^2+2*Inputs!$E$41*C32*F32,0))</f>
        <v>1548797.8922272676</v>
      </c>
      <c r="O32" s="9">
        <f t="shared" si="2"/>
        <v>1548797.8922272676</v>
      </c>
      <c r="P32" s="11">
        <f t="shared" si="3"/>
        <v>-2.2204460492503131E-16</v>
      </c>
      <c r="Q32" s="9">
        <f t="shared" si="4"/>
        <v>0</v>
      </c>
      <c r="R32" s="9">
        <f t="shared" si="5"/>
        <v>1543050.4102472649</v>
      </c>
      <c r="S32" s="9">
        <f t="shared" si="6"/>
        <v>0</v>
      </c>
      <c r="T32" s="9">
        <f t="shared" si="7"/>
        <v>5747.4819800027399</v>
      </c>
      <c r="U32" s="9">
        <f t="shared" si="8"/>
        <v>0</v>
      </c>
      <c r="V32" s="9">
        <f t="shared" si="9"/>
        <v>1548797.8922272676</v>
      </c>
      <c r="W32" s="14">
        <f t="shared" si="10"/>
        <v>0</v>
      </c>
      <c r="X32" s="9">
        <f t="shared" si="11"/>
        <v>0</v>
      </c>
      <c r="Y32" s="9">
        <f t="shared" si="12"/>
        <v>1548797.8922272681</v>
      </c>
    </row>
    <row r="33" spans="1:25" x14ac:dyDescent="0.3">
      <c r="A33" s="6">
        <v>27</v>
      </c>
      <c r="B33" s="28">
        <v>0</v>
      </c>
      <c r="C33" s="28">
        <f>Annuity!O33</f>
        <v>1382427.7288014698</v>
      </c>
      <c r="D33" s="28">
        <v>0</v>
      </c>
      <c r="E33" s="28">
        <v>0</v>
      </c>
      <c r="F33" s="28">
        <f>Annuity!P33</f>
        <v>19353.661826345051</v>
      </c>
      <c r="G33" s="9">
        <f t="shared" si="0"/>
        <v>19353.661826345051</v>
      </c>
      <c r="H33" s="9">
        <f>Inputs!$B$40*B33+Inputs!$C$40*C33+Inputs!$D$40*D33+Inputs!$E$40*G33</f>
        <v>-340768.51674378116</v>
      </c>
      <c r="I33" s="9">
        <f>Inputs!$B$41*B33+Inputs!$C$41*C33+Inputs!$D$41*D33+Inputs!$E$41*G33</f>
        <v>1387266.1442580561</v>
      </c>
      <c r="J33" s="9">
        <f>Inputs!$B$42*B33+Inputs!$C$42*C33+Inputs!$D$42*D33+Inputs!$E$42*G33</f>
        <v>355283.76311353996</v>
      </c>
      <c r="K33" s="9">
        <f>Inputs!$B$43*B33+Inputs!$C$43*C33+Inputs!$D$43*D33+Inputs!$E$43*G33</f>
        <v>364960.59402671247</v>
      </c>
      <c r="L33" s="9">
        <f t="shared" si="1"/>
        <v>1387392.7017851043</v>
      </c>
      <c r="M33" s="9">
        <f>SQRT(MAX(B33^2+D33^2+E33^2+2*Inputs!$D$40*B33*D33+2*Inputs!$E$40*B33*E33+2*Inputs!$E$42*D33*E33,0))</f>
        <v>0</v>
      </c>
      <c r="N33" s="9">
        <f>SQRT(MAX(C33^2+F33^2+2*Inputs!$E$41*C33*F33,0))</f>
        <v>1387392.7017851043</v>
      </c>
      <c r="O33" s="9">
        <f t="shared" si="2"/>
        <v>1387392.7017851043</v>
      </c>
      <c r="P33" s="11">
        <f t="shared" si="3"/>
        <v>0</v>
      </c>
      <c r="Q33" s="9">
        <f t="shared" si="4"/>
        <v>0</v>
      </c>
      <c r="R33" s="9">
        <f t="shared" si="5"/>
        <v>1382301.6241776997</v>
      </c>
      <c r="S33" s="9">
        <f t="shared" si="6"/>
        <v>0</v>
      </c>
      <c r="T33" s="9">
        <f t="shared" si="7"/>
        <v>5091.0776074048063</v>
      </c>
      <c r="U33" s="9">
        <f t="shared" si="8"/>
        <v>0</v>
      </c>
      <c r="V33" s="9">
        <f t="shared" si="9"/>
        <v>1387392.7017851046</v>
      </c>
      <c r="W33" s="14">
        <f t="shared" si="10"/>
        <v>0</v>
      </c>
      <c r="X33" s="9">
        <f t="shared" si="11"/>
        <v>0</v>
      </c>
      <c r="Y33" s="9">
        <f t="shared" si="12"/>
        <v>1387392.7017851043</v>
      </c>
    </row>
    <row r="34" spans="1:25" x14ac:dyDescent="0.3">
      <c r="A34" s="6">
        <v>28</v>
      </c>
      <c r="B34" s="28">
        <v>0</v>
      </c>
      <c r="C34" s="28">
        <f>Annuity!O34</f>
        <v>1222940.3162966797</v>
      </c>
      <c r="D34" s="28">
        <v>0</v>
      </c>
      <c r="E34" s="28">
        <v>0</v>
      </c>
      <c r="F34" s="28">
        <f>Annuity!P34</f>
        <v>16959.742415556731</v>
      </c>
      <c r="G34" s="9">
        <f t="shared" si="0"/>
        <v>16959.742415556731</v>
      </c>
      <c r="H34" s="9">
        <f>Inputs!$B$40*B34+Inputs!$C$40*C34+Inputs!$D$40*D34+Inputs!$E$40*G34</f>
        <v>-301495.14347028075</v>
      </c>
      <c r="I34" s="9">
        <f>Inputs!$B$41*B34+Inputs!$C$41*C34+Inputs!$D$41*D34+Inputs!$E$41*G34</f>
        <v>1227180.2519005688</v>
      </c>
      <c r="J34" s="9">
        <f>Inputs!$B$42*B34+Inputs!$C$42*C34+Inputs!$D$42*D34+Inputs!$E$42*G34</f>
        <v>314214.95028194826</v>
      </c>
      <c r="K34" s="9">
        <f>Inputs!$B$43*B34+Inputs!$C$43*C34+Inputs!$D$43*D34+Inputs!$E$43*G34</f>
        <v>322694.82148972666</v>
      </c>
      <c r="L34" s="9">
        <f t="shared" si="1"/>
        <v>1227290.1150354063</v>
      </c>
      <c r="M34" s="9">
        <f>SQRT(MAX(B34^2+D34^2+E34^2+2*Inputs!$D$40*B34*D34+2*Inputs!$E$40*B34*E34+2*Inputs!$E$42*D34*E34,0))</f>
        <v>0</v>
      </c>
      <c r="N34" s="9">
        <f>SQRT(MAX(C34^2+F34^2+2*Inputs!$E$41*C34*F34,0))</f>
        <v>1227290.1150354063</v>
      </c>
      <c r="O34" s="9">
        <f t="shared" si="2"/>
        <v>1227290.1150354063</v>
      </c>
      <c r="P34" s="11">
        <f t="shared" si="3"/>
        <v>0</v>
      </c>
      <c r="Q34" s="9">
        <f t="shared" si="4"/>
        <v>0</v>
      </c>
      <c r="R34" s="9">
        <f t="shared" si="5"/>
        <v>1222830.842542087</v>
      </c>
      <c r="S34" s="9">
        <f t="shared" si="6"/>
        <v>0</v>
      </c>
      <c r="T34" s="9">
        <f t="shared" si="7"/>
        <v>4459.272493319103</v>
      </c>
      <c r="U34" s="9">
        <f t="shared" si="8"/>
        <v>0</v>
      </c>
      <c r="V34" s="9">
        <f t="shared" si="9"/>
        <v>1227290.1150354061</v>
      </c>
      <c r="W34" s="14">
        <f t="shared" si="10"/>
        <v>0</v>
      </c>
      <c r="X34" s="9">
        <f t="shared" si="11"/>
        <v>0</v>
      </c>
      <c r="Y34" s="9">
        <f t="shared" si="12"/>
        <v>1227290.1150354063</v>
      </c>
    </row>
    <row r="35" spans="1:25" x14ac:dyDescent="0.3">
      <c r="A35" s="6">
        <v>29</v>
      </c>
      <c r="B35" s="28">
        <v>0</v>
      </c>
      <c r="C35" s="28">
        <f>Annuity!O35</f>
        <v>1066968.872526349</v>
      </c>
      <c r="D35" s="28">
        <v>0</v>
      </c>
      <c r="E35" s="28">
        <v>0</v>
      </c>
      <c r="F35" s="28">
        <f>Annuity!P35</f>
        <v>14678.122517397993</v>
      </c>
      <c r="G35" s="9">
        <f t="shared" si="0"/>
        <v>14678.122517397993</v>
      </c>
      <c r="H35" s="9">
        <f>Inputs!$B$40*B35+Inputs!$C$40*C35+Inputs!$D$40*D35+Inputs!$E$40*G35</f>
        <v>-263072.68750223774</v>
      </c>
      <c r="I35" s="9">
        <f>Inputs!$B$41*B35+Inputs!$C$41*C35+Inputs!$D$41*D35+Inputs!$E$41*G35</f>
        <v>1070638.4031556984</v>
      </c>
      <c r="J35" s="9">
        <f>Inputs!$B$42*B35+Inputs!$C$42*C35+Inputs!$D$42*D35+Inputs!$E$42*G35</f>
        <v>274081.27939028625</v>
      </c>
      <c r="K35" s="9">
        <f>Inputs!$B$43*B35+Inputs!$C$43*C35+Inputs!$D$43*D35+Inputs!$E$43*G35</f>
        <v>281420.34064898524</v>
      </c>
      <c r="L35" s="9">
        <f t="shared" si="1"/>
        <v>1070732.7267518165</v>
      </c>
      <c r="M35" s="9">
        <f>SQRT(MAX(B35^2+D35^2+E35^2+2*Inputs!$D$40*B35*D35+2*Inputs!$E$40*B35*E35+2*Inputs!$E$42*D35*E35,0))</f>
        <v>0</v>
      </c>
      <c r="N35" s="9">
        <f>SQRT(MAX(C35^2+F35^2+2*Inputs!$E$41*C35*F35,0))</f>
        <v>1070732.7267518165</v>
      </c>
      <c r="O35" s="9">
        <f t="shared" si="2"/>
        <v>1070732.7267518165</v>
      </c>
      <c r="P35" s="11">
        <f t="shared" si="3"/>
        <v>0</v>
      </c>
      <c r="Q35" s="9">
        <f t="shared" si="4"/>
        <v>0</v>
      </c>
      <c r="R35" s="9">
        <f t="shared" si="5"/>
        <v>1066874.8804978174</v>
      </c>
      <c r="S35" s="9">
        <f t="shared" si="6"/>
        <v>0</v>
      </c>
      <c r="T35" s="9">
        <f t="shared" si="7"/>
        <v>3857.8462539990505</v>
      </c>
      <c r="U35" s="9">
        <f t="shared" si="8"/>
        <v>0</v>
      </c>
      <c r="V35" s="9">
        <f t="shared" si="9"/>
        <v>1070732.7267518165</v>
      </c>
      <c r="W35" s="14">
        <f t="shared" si="10"/>
        <v>0</v>
      </c>
      <c r="X35" s="9">
        <f t="shared" si="11"/>
        <v>0</v>
      </c>
      <c r="Y35" s="9">
        <f t="shared" si="12"/>
        <v>1070732.7267518165</v>
      </c>
    </row>
    <row r="36" spans="1:25" x14ac:dyDescent="0.3">
      <c r="A36" s="6">
        <v>30</v>
      </c>
      <c r="B36" s="28">
        <v>0</v>
      </c>
      <c r="C36" s="28">
        <f>Annuity!O36</f>
        <v>916758.17964596744</v>
      </c>
      <c r="D36" s="28">
        <v>0</v>
      </c>
      <c r="E36" s="28">
        <v>0</v>
      </c>
      <c r="F36" s="28">
        <f>Annuity!P36</f>
        <v>12530.317193307272</v>
      </c>
      <c r="G36" s="9">
        <f t="shared" si="0"/>
        <v>12530.317193307272</v>
      </c>
      <c r="H36" s="9">
        <f>Inputs!$B$40*B36+Inputs!$C$40*C36+Inputs!$D$40*D36+Inputs!$E$40*G36</f>
        <v>-226056.96561316506</v>
      </c>
      <c r="I36" s="9">
        <f>Inputs!$B$41*B36+Inputs!$C$41*C36+Inputs!$D$41*D36+Inputs!$E$41*G36</f>
        <v>919890.7589442943</v>
      </c>
      <c r="J36" s="9">
        <f>Inputs!$B$42*B36+Inputs!$C$42*C36+Inputs!$D$42*D36+Inputs!$E$42*G36</f>
        <v>235454.7035081455</v>
      </c>
      <c r="K36" s="9">
        <f>Inputs!$B$43*B36+Inputs!$C$43*C36+Inputs!$D$43*D36+Inputs!$E$43*G36</f>
        <v>241719.86210479913</v>
      </c>
      <c r="L36" s="9">
        <f t="shared" si="1"/>
        <v>919970.76268053986</v>
      </c>
      <c r="M36" s="9">
        <f>SQRT(MAX(B36^2+D36^2+E36^2+2*Inputs!$D$40*B36*D36+2*Inputs!$E$40*B36*E36+2*Inputs!$E$42*D36*E36,0))</f>
        <v>0</v>
      </c>
      <c r="N36" s="9">
        <f>SQRT(MAX(C36^2+F36^2+2*Inputs!$E$41*C36*F36,0))</f>
        <v>919970.76268053986</v>
      </c>
      <c r="O36" s="9">
        <f t="shared" si="2"/>
        <v>919970.76268053986</v>
      </c>
      <c r="P36" s="11">
        <f t="shared" si="3"/>
        <v>0</v>
      </c>
      <c r="Q36" s="9">
        <f t="shared" si="4"/>
        <v>0</v>
      </c>
      <c r="R36" s="9">
        <f t="shared" si="5"/>
        <v>916678.45528669364</v>
      </c>
      <c r="S36" s="9">
        <f t="shared" si="6"/>
        <v>0</v>
      </c>
      <c r="T36" s="9">
        <f t="shared" si="7"/>
        <v>3292.3073938463717</v>
      </c>
      <c r="U36" s="9">
        <f t="shared" si="8"/>
        <v>0</v>
      </c>
      <c r="V36" s="9">
        <f t="shared" si="9"/>
        <v>919970.76268053998</v>
      </c>
      <c r="W36" s="14">
        <f t="shared" si="10"/>
        <v>0</v>
      </c>
      <c r="X36" s="9">
        <f t="shared" si="11"/>
        <v>0</v>
      </c>
      <c r="Y36" s="9">
        <f t="shared" si="12"/>
        <v>919970.76268053986</v>
      </c>
    </row>
    <row r="37" spans="1:25" x14ac:dyDescent="0.3">
      <c r="A37" s="6">
        <v>31</v>
      </c>
      <c r="B37" s="28">
        <v>0</v>
      </c>
      <c r="C37" s="28">
        <f>Annuity!O37</f>
        <v>774470.34535062569</v>
      </c>
      <c r="D37" s="28">
        <v>0</v>
      </c>
      <c r="E37" s="28">
        <v>0</v>
      </c>
      <c r="F37" s="28">
        <f>Annuity!P37</f>
        <v>10535.97023994512</v>
      </c>
      <c r="G37" s="9">
        <f t="shared" si="0"/>
        <v>10535.97023994512</v>
      </c>
      <c r="H37" s="9">
        <f>Inputs!$B$40*B37+Inputs!$C$40*C37+Inputs!$D$40*D37+Inputs!$E$40*G37</f>
        <v>-190983.59377767015</v>
      </c>
      <c r="I37" s="9">
        <f>Inputs!$B$41*B37+Inputs!$C$41*C37+Inputs!$D$41*D37+Inputs!$E$41*G37</f>
        <v>777104.337910612</v>
      </c>
      <c r="J37" s="9">
        <f>Inputs!$B$42*B37+Inputs!$C$42*C37+Inputs!$D$42*D37+Inputs!$E$42*G37</f>
        <v>198885.57145762898</v>
      </c>
      <c r="K37" s="9">
        <f>Inputs!$B$43*B37+Inputs!$C$43*C37+Inputs!$D$43*D37+Inputs!$E$43*G37</f>
        <v>204153.55657760153</v>
      </c>
      <c r="L37" s="9">
        <f t="shared" si="1"/>
        <v>777171.29434351961</v>
      </c>
      <c r="M37" s="9">
        <f>SQRT(MAX(B37^2+D37^2+E37^2+2*Inputs!$D$40*B37*D37+2*Inputs!$E$40*B37*E37+2*Inputs!$E$42*D37*E37,0))</f>
        <v>0</v>
      </c>
      <c r="N37" s="9">
        <f>SQRT(MAX(C37^2+F37^2+2*Inputs!$E$41*C37*F37,0))</f>
        <v>777171.29434351961</v>
      </c>
      <c r="O37" s="9">
        <f t="shared" si="2"/>
        <v>777171.29434351961</v>
      </c>
      <c r="P37" s="11">
        <f t="shared" si="3"/>
        <v>0</v>
      </c>
      <c r="Q37" s="9">
        <f t="shared" si="4"/>
        <v>0</v>
      </c>
      <c r="R37" s="9">
        <f t="shared" si="5"/>
        <v>774403.62161533744</v>
      </c>
      <c r="S37" s="9">
        <f t="shared" si="6"/>
        <v>0</v>
      </c>
      <c r="T37" s="9">
        <f t="shared" si="7"/>
        <v>2767.6727281821245</v>
      </c>
      <c r="U37" s="9">
        <f t="shared" si="8"/>
        <v>0</v>
      </c>
      <c r="V37" s="9">
        <f t="shared" si="9"/>
        <v>777171.29434351961</v>
      </c>
      <c r="W37" s="14">
        <f t="shared" si="10"/>
        <v>0</v>
      </c>
      <c r="X37" s="9">
        <f t="shared" si="11"/>
        <v>0</v>
      </c>
      <c r="Y37" s="9">
        <f t="shared" si="12"/>
        <v>777171.29434351949</v>
      </c>
    </row>
    <row r="38" spans="1:25" x14ac:dyDescent="0.3">
      <c r="A38" s="6">
        <v>32</v>
      </c>
      <c r="B38" s="28">
        <v>0</v>
      </c>
      <c r="C38" s="28">
        <f>Annuity!O38</f>
        <v>642085.44903371471</v>
      </c>
      <c r="D38" s="28">
        <v>0</v>
      </c>
      <c r="E38" s="28">
        <v>0</v>
      </c>
      <c r="F38" s="28">
        <f>Annuity!P38</f>
        <v>8711.9434706215725</v>
      </c>
      <c r="G38" s="9">
        <f t="shared" si="0"/>
        <v>8711.9434706215725</v>
      </c>
      <c r="H38" s="9">
        <f>Inputs!$B$40*B38+Inputs!$C$40*C38+Inputs!$D$40*D38+Inputs!$E$40*G38</f>
        <v>-158343.37639077328</v>
      </c>
      <c r="I38" s="9">
        <f>Inputs!$B$41*B38+Inputs!$C$41*C38+Inputs!$D$41*D38+Inputs!$E$41*G38</f>
        <v>644263.43490137008</v>
      </c>
      <c r="J38" s="9">
        <f>Inputs!$B$42*B38+Inputs!$C$42*C38+Inputs!$D$42*D38+Inputs!$E$42*G38</f>
        <v>164877.33399373948</v>
      </c>
      <c r="K38" s="9">
        <f>Inputs!$B$43*B38+Inputs!$C$43*C38+Inputs!$D$43*D38+Inputs!$E$43*G38</f>
        <v>169233.30572905025</v>
      </c>
      <c r="L38" s="9">
        <f t="shared" si="1"/>
        <v>644318.65399622533</v>
      </c>
      <c r="M38" s="9">
        <f>SQRT(MAX(B38^2+D38^2+E38^2+2*Inputs!$D$40*B38*D38+2*Inputs!$E$40*B38*E38+2*Inputs!$E$42*D38*E38,0))</f>
        <v>0</v>
      </c>
      <c r="N38" s="9">
        <f>SQRT(MAX(C38^2+F38^2+2*Inputs!$E$41*C38*F38,0))</f>
        <v>644318.65399622533</v>
      </c>
      <c r="O38" s="9">
        <f t="shared" si="2"/>
        <v>644318.65399622533</v>
      </c>
      <c r="P38" s="11">
        <f t="shared" si="3"/>
        <v>0</v>
      </c>
      <c r="Q38" s="9">
        <f t="shared" si="4"/>
        <v>0</v>
      </c>
      <c r="R38" s="9">
        <f t="shared" si="5"/>
        <v>642030.42132794298</v>
      </c>
      <c r="S38" s="9">
        <f t="shared" si="6"/>
        <v>0</v>
      </c>
      <c r="T38" s="9">
        <f t="shared" si="7"/>
        <v>2288.2326682823946</v>
      </c>
      <c r="U38" s="9">
        <f t="shared" si="8"/>
        <v>0</v>
      </c>
      <c r="V38" s="9">
        <f t="shared" si="9"/>
        <v>644318.65399622533</v>
      </c>
      <c r="W38" s="14">
        <f t="shared" si="10"/>
        <v>0</v>
      </c>
      <c r="X38" s="9">
        <f t="shared" si="11"/>
        <v>0</v>
      </c>
      <c r="Y38" s="9">
        <f t="shared" si="12"/>
        <v>644318.65399622533</v>
      </c>
    </row>
    <row r="39" spans="1:25" x14ac:dyDescent="0.3">
      <c r="A39" s="6">
        <v>33</v>
      </c>
      <c r="B39" s="28">
        <v>0</v>
      </c>
      <c r="C39" s="28">
        <f>Annuity!O39</f>
        <v>521299.81146473676</v>
      </c>
      <c r="D39" s="28">
        <v>0</v>
      </c>
      <c r="E39" s="28">
        <v>0</v>
      </c>
      <c r="F39" s="28">
        <f>Annuity!P39</f>
        <v>7071.4095413218574</v>
      </c>
      <c r="G39" s="9">
        <f t="shared" si="0"/>
        <v>7071.4095413218574</v>
      </c>
      <c r="H39" s="9">
        <f>Inputs!$B$40*B39+Inputs!$C$40*C39+Inputs!$D$40*D39+Inputs!$E$40*G39</f>
        <v>-128557.10048085373</v>
      </c>
      <c r="I39" s="9">
        <f>Inputs!$B$41*B39+Inputs!$C$41*C39+Inputs!$D$41*D39+Inputs!$E$41*G39</f>
        <v>523067.66385006724</v>
      </c>
      <c r="J39" s="9">
        <f>Inputs!$B$42*B39+Inputs!$C$42*C39+Inputs!$D$42*D39+Inputs!$E$42*G39</f>
        <v>133860.65763684511</v>
      </c>
      <c r="K39" s="9">
        <f>Inputs!$B$43*B39+Inputs!$C$43*C39+Inputs!$D$43*D39+Inputs!$E$43*G39</f>
        <v>137396.36240750604</v>
      </c>
      <c r="L39" s="9">
        <f t="shared" si="1"/>
        <v>523112.47404015489</v>
      </c>
      <c r="M39" s="9">
        <f>SQRT(MAX(B39^2+D39^2+E39^2+2*Inputs!$D$40*B39*D39+2*Inputs!$E$40*B39*E39+2*Inputs!$E$42*D39*E39,0))</f>
        <v>0</v>
      </c>
      <c r="N39" s="9">
        <f>SQRT(MAX(C39^2+F39^2+2*Inputs!$E$41*C39*F39,0))</f>
        <v>523112.47404015489</v>
      </c>
      <c r="O39" s="9">
        <f t="shared" si="2"/>
        <v>523112.47404015489</v>
      </c>
      <c r="P39" s="11">
        <f t="shared" si="3"/>
        <v>0</v>
      </c>
      <c r="Q39" s="9">
        <f t="shared" si="4"/>
        <v>0</v>
      </c>
      <c r="R39" s="9">
        <f t="shared" si="5"/>
        <v>521255.15654862672</v>
      </c>
      <c r="S39" s="9">
        <f t="shared" si="6"/>
        <v>0</v>
      </c>
      <c r="T39" s="9">
        <f t="shared" si="7"/>
        <v>1857.317491528167</v>
      </c>
      <c r="U39" s="9">
        <f t="shared" si="8"/>
        <v>0</v>
      </c>
      <c r="V39" s="9">
        <f t="shared" si="9"/>
        <v>523112.47404015489</v>
      </c>
      <c r="W39" s="14">
        <f t="shared" si="10"/>
        <v>0</v>
      </c>
      <c r="X39" s="9">
        <f t="shared" si="11"/>
        <v>0</v>
      </c>
      <c r="Y39" s="9">
        <f t="shared" si="12"/>
        <v>523112.47404015489</v>
      </c>
    </row>
    <row r="40" spans="1:25" x14ac:dyDescent="0.3">
      <c r="A40" s="6">
        <v>34</v>
      </c>
      <c r="B40" s="28">
        <v>0</v>
      </c>
      <c r="C40" s="28">
        <f>Annuity!O40</f>
        <v>413430.29366351932</v>
      </c>
      <c r="D40" s="28">
        <v>0</v>
      </c>
      <c r="E40" s="28">
        <v>0</v>
      </c>
      <c r="F40" s="28">
        <f>Annuity!P40</f>
        <v>5623.0249652680104</v>
      </c>
      <c r="G40" s="9">
        <f t="shared" si="0"/>
        <v>5623.0249652680104</v>
      </c>
      <c r="H40" s="9">
        <f>Inputs!$B$40*B40+Inputs!$C$40*C40+Inputs!$D$40*D40+Inputs!$E$40*G40</f>
        <v>-101951.81717456282</v>
      </c>
      <c r="I40" s="9">
        <f>Inputs!$B$41*B40+Inputs!$C$41*C40+Inputs!$D$41*D40+Inputs!$E$41*G40</f>
        <v>414836.04990483634</v>
      </c>
      <c r="J40" s="9">
        <f>Inputs!$B$42*B40+Inputs!$C$42*C40+Inputs!$D$42*D40+Inputs!$E$42*G40</f>
        <v>106169.08589851383</v>
      </c>
      <c r="K40" s="9">
        <f>Inputs!$B$43*B40+Inputs!$C$43*C40+Inputs!$D$43*D40+Inputs!$E$43*G40</f>
        <v>108980.59838114784</v>
      </c>
      <c r="L40" s="9">
        <f t="shared" si="1"/>
        <v>414871.77604628383</v>
      </c>
      <c r="M40" s="9">
        <f>SQRT(MAX(B40^2+D40^2+E40^2+2*Inputs!$D$40*B40*D40+2*Inputs!$E$40*B40*E40+2*Inputs!$E$42*D40*E40,0))</f>
        <v>0</v>
      </c>
      <c r="N40" s="9">
        <f>SQRT(MAX(C40^2+F40^2+2*Inputs!$E$41*C40*F40,0))</f>
        <v>414871.77604628383</v>
      </c>
      <c r="O40" s="9">
        <f t="shared" si="2"/>
        <v>414871.77604628383</v>
      </c>
      <c r="P40" s="11">
        <f t="shared" si="3"/>
        <v>0</v>
      </c>
      <c r="Q40" s="9">
        <f t="shared" si="4"/>
        <v>0</v>
      </c>
      <c r="R40" s="9">
        <f t="shared" si="5"/>
        <v>413394.6916534456</v>
      </c>
      <c r="S40" s="9">
        <f t="shared" si="6"/>
        <v>0</v>
      </c>
      <c r="T40" s="9">
        <f t="shared" si="7"/>
        <v>1477.0843928382239</v>
      </c>
      <c r="U40" s="9">
        <f t="shared" si="8"/>
        <v>0</v>
      </c>
      <c r="V40" s="9">
        <f t="shared" si="9"/>
        <v>414871.77604628383</v>
      </c>
      <c r="W40" s="14">
        <f t="shared" si="10"/>
        <v>0</v>
      </c>
      <c r="X40" s="9">
        <f t="shared" si="11"/>
        <v>0</v>
      </c>
      <c r="Y40" s="9">
        <f t="shared" si="12"/>
        <v>414871.77604628383</v>
      </c>
    </row>
    <row r="41" spans="1:25" x14ac:dyDescent="0.3">
      <c r="A41" s="6">
        <v>35</v>
      </c>
      <c r="B41" s="28">
        <v>0</v>
      </c>
      <c r="C41" s="28">
        <f>Annuity!O41</f>
        <v>319334.47388771048</v>
      </c>
      <c r="D41" s="28">
        <v>0</v>
      </c>
      <c r="E41" s="28">
        <v>0</v>
      </c>
      <c r="F41" s="28">
        <f>Annuity!P41</f>
        <v>4370.2736840072621</v>
      </c>
      <c r="G41" s="9">
        <f t="shared" si="0"/>
        <v>4370.2736840072621</v>
      </c>
      <c r="H41" s="9">
        <f>Inputs!$B$40*B41+Inputs!$C$40*C41+Inputs!$D$40*D41+Inputs!$E$40*G41</f>
        <v>-78741.050050925798</v>
      </c>
      <c r="I41" s="9">
        <f>Inputs!$B$41*B41+Inputs!$C$41*C41+Inputs!$D$41*D41+Inputs!$E$41*G41</f>
        <v>320427.04230871232</v>
      </c>
      <c r="J41" s="9">
        <f>Inputs!$B$42*B41+Inputs!$C$42*C41+Inputs!$D$42*D41+Inputs!$E$42*G41</f>
        <v>82018.755313931251</v>
      </c>
      <c r="K41" s="9">
        <f>Inputs!$B$43*B41+Inputs!$C$43*C41+Inputs!$D$43*D41+Inputs!$E$43*G41</f>
        <v>84203.892155934882</v>
      </c>
      <c r="L41" s="9">
        <f t="shared" si="1"/>
        <v>320454.98128290637</v>
      </c>
      <c r="M41" s="9">
        <f>SQRT(MAX(B41^2+D41^2+E41^2+2*Inputs!$D$40*B41*D41+2*Inputs!$E$40*B41*E41+2*Inputs!$E$42*D41*E41,0))</f>
        <v>0</v>
      </c>
      <c r="N41" s="9">
        <f>SQRT(MAX(C41^2+F41^2+2*Inputs!$E$41*C41*F41,0))</f>
        <v>320454.98128290637</v>
      </c>
      <c r="O41" s="9">
        <f t="shared" si="2"/>
        <v>320454.98128290637</v>
      </c>
      <c r="P41" s="11">
        <f t="shared" si="3"/>
        <v>0</v>
      </c>
      <c r="Q41" s="9">
        <f t="shared" si="4"/>
        <v>0</v>
      </c>
      <c r="R41" s="9">
        <f t="shared" si="5"/>
        <v>319306.63260532659</v>
      </c>
      <c r="S41" s="9">
        <f t="shared" si="6"/>
        <v>0</v>
      </c>
      <c r="T41" s="9">
        <f t="shared" si="7"/>
        <v>1148.3486775797458</v>
      </c>
      <c r="U41" s="9">
        <f t="shared" si="8"/>
        <v>0</v>
      </c>
      <c r="V41" s="9">
        <f t="shared" si="9"/>
        <v>320454.98128290632</v>
      </c>
      <c r="W41" s="14">
        <f t="shared" si="10"/>
        <v>0</v>
      </c>
      <c r="X41" s="9">
        <f t="shared" si="11"/>
        <v>0</v>
      </c>
      <c r="Y41" s="9">
        <f t="shared" si="12"/>
        <v>320454.98128290637</v>
      </c>
    </row>
    <row r="42" spans="1:25" x14ac:dyDescent="0.3">
      <c r="A42" s="6">
        <v>36</v>
      </c>
      <c r="B42" s="28">
        <v>0</v>
      </c>
      <c r="C42" s="28">
        <f>Annuity!O42</f>
        <v>239356.95489934375</v>
      </c>
      <c r="D42" s="28">
        <v>0</v>
      </c>
      <c r="E42" s="28">
        <v>0</v>
      </c>
      <c r="F42" s="28">
        <f>Annuity!P42</f>
        <v>3311.0764352321544</v>
      </c>
      <c r="G42" s="9">
        <f t="shared" si="0"/>
        <v>3311.0764352321544</v>
      </c>
      <c r="H42" s="9">
        <f>Inputs!$B$40*B42+Inputs!$C$40*C42+Inputs!$D$40*D42+Inputs!$E$40*G42</f>
        <v>-59011.469616027898</v>
      </c>
      <c r="I42" s="9">
        <f>Inputs!$B$41*B42+Inputs!$C$41*C42+Inputs!$D$41*D42+Inputs!$E$41*G42</f>
        <v>240184.7240081518</v>
      </c>
      <c r="J42" s="9">
        <f>Inputs!$B$42*B42+Inputs!$C$42*C42+Inputs!$D$42*D42+Inputs!$E$42*G42</f>
        <v>61494.776942452016</v>
      </c>
      <c r="K42" s="9">
        <f>Inputs!$B$43*B42+Inputs!$C$43*C42+Inputs!$D$43*D42+Inputs!$E$43*G42</f>
        <v>63150.315160068094</v>
      </c>
      <c r="L42" s="9">
        <f t="shared" si="1"/>
        <v>240206.11914007206</v>
      </c>
      <c r="M42" s="9">
        <f>SQRT(MAX(B42^2+D42^2+E42^2+2*Inputs!$D$40*B42*D42+2*Inputs!$E$40*B42*E42+2*Inputs!$E$42*D42*E42,0))</f>
        <v>0</v>
      </c>
      <c r="N42" s="9">
        <f>SQRT(MAX(C42^2+F42^2+2*Inputs!$E$41*C42*F42,0))</f>
        <v>240206.11914007206</v>
      </c>
      <c r="O42" s="9">
        <f t="shared" si="2"/>
        <v>240206.11914007206</v>
      </c>
      <c r="P42" s="11">
        <f t="shared" si="3"/>
        <v>0</v>
      </c>
      <c r="Q42" s="9">
        <f t="shared" si="4"/>
        <v>0</v>
      </c>
      <c r="R42" s="9">
        <f t="shared" si="5"/>
        <v>239335.63540238654</v>
      </c>
      <c r="S42" s="9">
        <f t="shared" si="6"/>
        <v>0</v>
      </c>
      <c r="T42" s="9">
        <f t="shared" si="7"/>
        <v>870.48373768552881</v>
      </c>
      <c r="U42" s="9">
        <f t="shared" si="8"/>
        <v>0</v>
      </c>
      <c r="V42" s="9">
        <f t="shared" si="9"/>
        <v>240206.11914007209</v>
      </c>
      <c r="W42" s="14">
        <f t="shared" si="10"/>
        <v>0</v>
      </c>
      <c r="X42" s="9">
        <f t="shared" si="11"/>
        <v>0</v>
      </c>
      <c r="Y42" s="9">
        <f t="shared" si="12"/>
        <v>240206.11914007206</v>
      </c>
    </row>
    <row r="43" spans="1:25" x14ac:dyDescent="0.3">
      <c r="A43" s="6">
        <v>37</v>
      </c>
      <c r="B43" s="28">
        <v>0</v>
      </c>
      <c r="C43" s="28">
        <f>Annuity!O43</f>
        <v>173310.94209064057</v>
      </c>
      <c r="D43" s="28">
        <v>0</v>
      </c>
      <c r="E43" s="28">
        <v>0</v>
      </c>
      <c r="F43" s="28">
        <f>Annuity!P43</f>
        <v>2437.7523987609407</v>
      </c>
      <c r="G43" s="9">
        <f t="shared" si="0"/>
        <v>2437.7523987609407</v>
      </c>
      <c r="H43" s="9">
        <f>Inputs!$B$40*B43+Inputs!$C$40*C43+Inputs!$D$40*D43+Inputs!$E$40*G43</f>
        <v>-42718.29742296991</v>
      </c>
      <c r="I43" s="9">
        <f>Inputs!$B$41*B43+Inputs!$C$41*C43+Inputs!$D$41*D43+Inputs!$E$41*G43</f>
        <v>173920.38019033082</v>
      </c>
      <c r="J43" s="9">
        <f>Inputs!$B$42*B43+Inputs!$C$42*C43+Inputs!$D$42*D43+Inputs!$E$42*G43</f>
        <v>44546.611722040616</v>
      </c>
      <c r="K43" s="9">
        <f>Inputs!$B$43*B43+Inputs!$C$43*C43+Inputs!$D$43*D43+Inputs!$E$43*G43</f>
        <v>45765.487921421081</v>
      </c>
      <c r="L43" s="9">
        <f t="shared" si="1"/>
        <v>173936.39604036161</v>
      </c>
      <c r="M43" s="9">
        <f>SQRT(MAX(B43^2+D43^2+E43^2+2*Inputs!$D$40*B43*D43+2*Inputs!$E$40*B43*E43+2*Inputs!$E$42*D43*E43,0))</f>
        <v>0</v>
      </c>
      <c r="N43" s="9">
        <f>SQRT(MAX(C43^2+F43^2+2*Inputs!$E$41*C43*F43,0))</f>
        <v>173936.39604036161</v>
      </c>
      <c r="O43" s="9">
        <f t="shared" si="2"/>
        <v>173936.39604036161</v>
      </c>
      <c r="P43" s="11">
        <f t="shared" si="3"/>
        <v>0</v>
      </c>
      <c r="Q43" s="9">
        <f t="shared" si="4"/>
        <v>0</v>
      </c>
      <c r="R43" s="9">
        <f t="shared" si="5"/>
        <v>173294.9838316424</v>
      </c>
      <c r="S43" s="9">
        <f t="shared" si="6"/>
        <v>0</v>
      </c>
      <c r="T43" s="9">
        <f t="shared" si="7"/>
        <v>641.41220871921871</v>
      </c>
      <c r="U43" s="9">
        <f t="shared" si="8"/>
        <v>0</v>
      </c>
      <c r="V43" s="9">
        <f t="shared" si="9"/>
        <v>173936.39604036161</v>
      </c>
      <c r="W43" s="14">
        <f t="shared" si="10"/>
        <v>0</v>
      </c>
      <c r="X43" s="9">
        <f t="shared" si="11"/>
        <v>0</v>
      </c>
      <c r="Y43" s="9">
        <f t="shared" si="12"/>
        <v>173936.39604036161</v>
      </c>
    </row>
    <row r="44" spans="1:25" x14ac:dyDescent="0.3">
      <c r="A44" s="6">
        <v>38</v>
      </c>
      <c r="B44" s="28">
        <v>0</v>
      </c>
      <c r="C44" s="28">
        <f>Annuity!O44</f>
        <v>120501.28445003359</v>
      </c>
      <c r="D44" s="28">
        <v>0</v>
      </c>
      <c r="E44" s="28">
        <v>0</v>
      </c>
      <c r="F44" s="28">
        <f>Annuity!P44</f>
        <v>1737.3934298968577</v>
      </c>
      <c r="G44" s="9">
        <f t="shared" si="0"/>
        <v>1737.3934298968577</v>
      </c>
      <c r="H44" s="9">
        <f>Inputs!$B$40*B44+Inputs!$C$40*C44+Inputs!$D$40*D44+Inputs!$E$40*G44</f>
        <v>-29690.972755034185</v>
      </c>
      <c r="I44" s="9">
        <f>Inputs!$B$41*B44+Inputs!$C$41*C44+Inputs!$D$41*D44+Inputs!$E$41*G44</f>
        <v>120935.63280750781</v>
      </c>
      <c r="J44" s="9">
        <f>Inputs!$B$42*B44+Inputs!$C$42*C44+Inputs!$D$42*D44+Inputs!$E$42*G44</f>
        <v>30994.017827456828</v>
      </c>
      <c r="K44" s="9">
        <f>Inputs!$B$43*B44+Inputs!$C$43*C44+Inputs!$D$43*D44+Inputs!$E$43*G44</f>
        <v>31862.714542405254</v>
      </c>
      <c r="L44" s="9">
        <f t="shared" si="1"/>
        <v>120947.33217391348</v>
      </c>
      <c r="M44" s="9">
        <f>SQRT(MAX(B44^2+D44^2+E44^2+2*Inputs!$D$40*B44*D44+2*Inputs!$E$40*B44*E44+2*Inputs!$E$42*D44*E44,0))</f>
        <v>0</v>
      </c>
      <c r="N44" s="9">
        <f>SQRT(MAX(C44^2+F44^2+2*Inputs!$E$41*C44*F44,0))</f>
        <v>120947.33217391348</v>
      </c>
      <c r="O44" s="9">
        <f t="shared" si="2"/>
        <v>120947.33217391348</v>
      </c>
      <c r="P44" s="11">
        <f t="shared" si="3"/>
        <v>0</v>
      </c>
      <c r="Q44" s="9">
        <f t="shared" si="4"/>
        <v>0</v>
      </c>
      <c r="R44" s="9">
        <f t="shared" si="5"/>
        <v>120489.62823030724</v>
      </c>
      <c r="S44" s="9">
        <f t="shared" si="6"/>
        <v>0</v>
      </c>
      <c r="T44" s="9">
        <f t="shared" si="7"/>
        <v>457.70394360623897</v>
      </c>
      <c r="U44" s="9">
        <f t="shared" si="8"/>
        <v>0</v>
      </c>
      <c r="V44" s="9">
        <f t="shared" si="9"/>
        <v>120947.33217391347</v>
      </c>
      <c r="W44" s="14">
        <f t="shared" si="10"/>
        <v>0</v>
      </c>
      <c r="X44" s="9">
        <f t="shared" si="11"/>
        <v>0</v>
      </c>
      <c r="Y44" s="9">
        <f t="shared" si="12"/>
        <v>120947.33217391348</v>
      </c>
    </row>
    <row r="45" spans="1:25" x14ac:dyDescent="0.3">
      <c r="A45" s="6">
        <v>39</v>
      </c>
      <c r="B45" s="28">
        <v>0</v>
      </c>
      <c r="C45" s="28">
        <f>Annuity!O45</f>
        <v>79790.388757875699</v>
      </c>
      <c r="D45" s="28">
        <v>0</v>
      </c>
      <c r="E45" s="28">
        <v>0</v>
      </c>
      <c r="F45" s="28">
        <f>Annuity!P45</f>
        <v>1192.6665329683049</v>
      </c>
      <c r="G45" s="9">
        <f t="shared" si="0"/>
        <v>1192.6665329683049</v>
      </c>
      <c r="H45" s="9">
        <f>Inputs!$B$40*B45+Inputs!$C$40*C45+Inputs!$D$40*D45+Inputs!$E$40*G45</f>
        <v>-19649.430556226849</v>
      </c>
      <c r="I45" s="9">
        <f>Inputs!$B$41*B45+Inputs!$C$41*C45+Inputs!$D$41*D45+Inputs!$E$41*G45</f>
        <v>80088.55539111777</v>
      </c>
      <c r="J45" s="9">
        <f>Inputs!$B$42*B45+Inputs!$C$42*C45+Inputs!$D$42*D45+Inputs!$E$42*G45</f>
        <v>20543.930455953076</v>
      </c>
      <c r="K45" s="9">
        <f>Inputs!$B$43*B45+Inputs!$C$43*C45+Inputs!$D$43*D45+Inputs!$E$43*G45</f>
        <v>21140.26372243723</v>
      </c>
      <c r="L45" s="9">
        <f t="shared" si="1"/>
        <v>80096.880430849633</v>
      </c>
      <c r="M45" s="9">
        <f>SQRT(MAX(B45^2+D45^2+E45^2+2*Inputs!$D$40*B45*D45+2*Inputs!$E$40*B45*E45+2*Inputs!$E$42*D45*E45,0))</f>
        <v>0</v>
      </c>
      <c r="N45" s="9">
        <f>SQRT(MAX(C45^2+F45^2+2*Inputs!$E$41*C45*F45,0))</f>
        <v>80096.880430849633</v>
      </c>
      <c r="O45" s="9">
        <f t="shared" si="2"/>
        <v>80096.880430849633</v>
      </c>
      <c r="P45" s="11">
        <f t="shared" si="3"/>
        <v>0</v>
      </c>
      <c r="Q45" s="9">
        <f t="shared" si="4"/>
        <v>0</v>
      </c>
      <c r="R45" s="9">
        <f t="shared" si="5"/>
        <v>79782.095574008141</v>
      </c>
      <c r="S45" s="9">
        <f t="shared" si="6"/>
        <v>0</v>
      </c>
      <c r="T45" s="9">
        <f t="shared" si="7"/>
        <v>314.7848568414887</v>
      </c>
      <c r="U45" s="9">
        <f t="shared" si="8"/>
        <v>0</v>
      </c>
      <c r="V45" s="9">
        <f t="shared" si="9"/>
        <v>80096.880430849633</v>
      </c>
      <c r="W45" s="14">
        <f t="shared" si="10"/>
        <v>0</v>
      </c>
      <c r="X45" s="9">
        <f t="shared" si="11"/>
        <v>0</v>
      </c>
      <c r="Y45" s="9">
        <f t="shared" si="12"/>
        <v>80096.880430849633</v>
      </c>
    </row>
    <row r="46" spans="1:25" x14ac:dyDescent="0.3">
      <c r="A46" s="6">
        <v>40</v>
      </c>
      <c r="B46" s="28">
        <v>0</v>
      </c>
      <c r="C46" s="28">
        <f>Annuity!O46</f>
        <v>49702.2911918514</v>
      </c>
      <c r="D46" s="28">
        <v>0</v>
      </c>
      <c r="E46" s="28">
        <v>0</v>
      </c>
      <c r="F46" s="28">
        <f>Annuity!P46</f>
        <v>783.00052880920941</v>
      </c>
      <c r="G46" s="9">
        <f t="shared" si="0"/>
        <v>783.00052880920941</v>
      </c>
      <c r="H46" s="9">
        <f>Inputs!$B$40*B46+Inputs!$C$40*C46+Inputs!$D$40*D46+Inputs!$E$40*G46</f>
        <v>-12229.822665760548</v>
      </c>
      <c r="I46" s="9">
        <f>Inputs!$B$41*B46+Inputs!$C$41*C46+Inputs!$D$41*D46+Inputs!$E$41*G46</f>
        <v>49898.041324053702</v>
      </c>
      <c r="J46" s="9">
        <f>Inputs!$B$42*B46+Inputs!$C$42*C46+Inputs!$D$42*D46+Inputs!$E$42*G46</f>
        <v>12817.073062367455</v>
      </c>
      <c r="K46" s="9">
        <f>Inputs!$B$43*B46+Inputs!$C$43*C46+Inputs!$D$43*D46+Inputs!$E$43*G46</f>
        <v>13208.573326772059</v>
      </c>
      <c r="L46" s="9">
        <f t="shared" si="1"/>
        <v>49903.800453380594</v>
      </c>
      <c r="M46" s="9">
        <f>SQRT(MAX(B46^2+D46^2+E46^2+2*Inputs!$D$40*B46*D46+2*Inputs!$E$40*B46*E46+2*Inputs!$E$42*D46*E46,0))</f>
        <v>0</v>
      </c>
      <c r="N46" s="9">
        <f>SQRT(MAX(C46^2+F46^2+2*Inputs!$E$41*C46*F46,0))</f>
        <v>49903.800453380594</v>
      </c>
      <c r="O46" s="9">
        <f t="shared" si="2"/>
        <v>49903.800453380594</v>
      </c>
      <c r="P46" s="11">
        <f t="shared" si="3"/>
        <v>0</v>
      </c>
      <c r="Q46" s="9">
        <f t="shared" si="4"/>
        <v>0</v>
      </c>
      <c r="R46" s="9">
        <f t="shared" si="5"/>
        <v>49696.555317625069</v>
      </c>
      <c r="S46" s="9">
        <f t="shared" si="6"/>
        <v>0</v>
      </c>
      <c r="T46" s="9">
        <f t="shared" si="7"/>
        <v>207.24513575552999</v>
      </c>
      <c r="U46" s="9">
        <f t="shared" si="8"/>
        <v>0</v>
      </c>
      <c r="V46" s="9">
        <f t="shared" si="9"/>
        <v>49903.800453380602</v>
      </c>
      <c r="W46" s="14">
        <f t="shared" si="10"/>
        <v>0</v>
      </c>
      <c r="X46" s="9">
        <f t="shared" si="11"/>
        <v>0</v>
      </c>
      <c r="Y46" s="9">
        <f t="shared" si="12"/>
        <v>49903.800453380594</v>
      </c>
    </row>
    <row r="47" spans="1:25" x14ac:dyDescent="0.3">
      <c r="A47" s="6">
        <v>41</v>
      </c>
      <c r="B47" s="28">
        <v>0</v>
      </c>
      <c r="C47" s="28">
        <f>Annuity!O47</f>
        <v>28553.738105938701</v>
      </c>
      <c r="D47" s="28">
        <v>0</v>
      </c>
      <c r="E47" s="28">
        <v>0</v>
      </c>
      <c r="F47" s="28">
        <f>Annuity!P47</f>
        <v>486.0472345292776</v>
      </c>
      <c r="G47" s="9">
        <f t="shared" si="0"/>
        <v>486.0472345292776</v>
      </c>
      <c r="H47" s="9">
        <f>Inputs!$B$40*B47+Inputs!$C$40*C47+Inputs!$D$40*D47+Inputs!$E$40*G47</f>
        <v>-7016.9227178523561</v>
      </c>
      <c r="I47" s="9">
        <f>Inputs!$B$41*B47+Inputs!$C$41*C47+Inputs!$D$41*D47+Inputs!$E$41*G47</f>
        <v>28675.249914571021</v>
      </c>
      <c r="J47" s="9">
        <f>Inputs!$B$42*B47+Inputs!$C$42*C47+Inputs!$D$42*D47+Inputs!$E$42*G47</f>
        <v>7381.4581437493143</v>
      </c>
      <c r="K47" s="9">
        <f>Inputs!$B$43*B47+Inputs!$C$43*C47+Inputs!$D$43*D47+Inputs!$E$43*G47</f>
        <v>7624.4817610139526</v>
      </c>
      <c r="L47" s="9">
        <f t="shared" si="1"/>
        <v>28679.111465623577</v>
      </c>
      <c r="M47" s="9">
        <f>SQRT(MAX(B47^2+D47^2+E47^2+2*Inputs!$D$40*B47*D47+2*Inputs!$E$40*B47*E47+2*Inputs!$E$42*D47*E47,0))</f>
        <v>0</v>
      </c>
      <c r="N47" s="9">
        <f>SQRT(MAX(C47^2+F47^2+2*Inputs!$E$41*C47*F47,0))</f>
        <v>28679.111465623577</v>
      </c>
      <c r="O47" s="9">
        <f t="shared" si="2"/>
        <v>28679.111465623577</v>
      </c>
      <c r="P47" s="11">
        <f t="shared" si="3"/>
        <v>0</v>
      </c>
      <c r="Q47" s="9">
        <f t="shared" si="4"/>
        <v>0</v>
      </c>
      <c r="R47" s="9">
        <f t="shared" si="5"/>
        <v>28549.893436009872</v>
      </c>
      <c r="S47" s="9">
        <f t="shared" si="6"/>
        <v>0</v>
      </c>
      <c r="T47" s="9">
        <f t="shared" si="7"/>
        <v>129.2180296137069</v>
      </c>
      <c r="U47" s="9">
        <f t="shared" si="8"/>
        <v>0</v>
      </c>
      <c r="V47" s="9">
        <f t="shared" si="9"/>
        <v>28679.11146562358</v>
      </c>
      <c r="W47" s="14">
        <f t="shared" si="10"/>
        <v>0</v>
      </c>
      <c r="X47" s="9">
        <f t="shared" si="11"/>
        <v>0</v>
      </c>
      <c r="Y47" s="9">
        <f t="shared" si="12"/>
        <v>28679.111465623577</v>
      </c>
    </row>
    <row r="48" spans="1:25" x14ac:dyDescent="0.3">
      <c r="A48" s="6">
        <v>42</v>
      </c>
      <c r="B48" s="28">
        <v>0</v>
      </c>
      <c r="C48" s="28">
        <f>Annuity!O48</f>
        <v>14595.864829165666</v>
      </c>
      <c r="D48" s="28">
        <v>0</v>
      </c>
      <c r="E48" s="28">
        <v>0</v>
      </c>
      <c r="F48" s="28">
        <f>Annuity!P48</f>
        <v>279.25022089626185</v>
      </c>
      <c r="G48" s="9">
        <f t="shared" si="0"/>
        <v>279.25022089626185</v>
      </c>
      <c r="H48" s="9">
        <f>Inputs!$B$40*B48+Inputs!$C$40*C48+Inputs!$D$40*D48+Inputs!$E$40*G48</f>
        <v>-3579.1536520673512</v>
      </c>
      <c r="I48" s="9">
        <f>Inputs!$B$41*B48+Inputs!$C$41*C48+Inputs!$D$41*D48+Inputs!$E$41*G48</f>
        <v>14665.677384389732</v>
      </c>
      <c r="J48" s="9">
        <f>Inputs!$B$42*B48+Inputs!$C$42*C48+Inputs!$D$42*D48+Inputs!$E$42*G48</f>
        <v>3788.5913177395473</v>
      </c>
      <c r="K48" s="9">
        <f>Inputs!$B$43*B48+Inputs!$C$43*C48+Inputs!$D$43*D48+Inputs!$E$43*G48</f>
        <v>3928.2164281876785</v>
      </c>
      <c r="L48" s="9">
        <f t="shared" si="1"/>
        <v>14668.1696211901</v>
      </c>
      <c r="M48" s="9">
        <f>SQRT(MAX(B48^2+D48^2+E48^2+2*Inputs!$D$40*B48*D48+2*Inputs!$E$40*B48*E48+2*Inputs!$E$42*D48*E48,0))</f>
        <v>0</v>
      </c>
      <c r="N48" s="9">
        <f>SQRT(MAX(C48^2+F48^2+2*Inputs!$E$41*C48*F48,0))</f>
        <v>14668.169621190102</v>
      </c>
      <c r="O48" s="9">
        <f t="shared" si="2"/>
        <v>14668.169621190102</v>
      </c>
      <c r="P48" s="11">
        <f t="shared" si="3"/>
        <v>1.1102230246251565E-16</v>
      </c>
      <c r="Q48" s="9">
        <f t="shared" si="4"/>
        <v>0</v>
      </c>
      <c r="R48" s="9">
        <f t="shared" si="5"/>
        <v>14593.384877515264</v>
      </c>
      <c r="S48" s="9">
        <f t="shared" si="6"/>
        <v>0</v>
      </c>
      <c r="T48" s="9">
        <f t="shared" si="7"/>
        <v>74.784743674837102</v>
      </c>
      <c r="U48" s="9">
        <f t="shared" si="8"/>
        <v>0</v>
      </c>
      <c r="V48" s="9">
        <f t="shared" si="9"/>
        <v>14668.169621190102</v>
      </c>
      <c r="W48" s="14">
        <f t="shared" si="10"/>
        <v>0</v>
      </c>
      <c r="X48" s="9">
        <f t="shared" si="11"/>
        <v>0</v>
      </c>
      <c r="Y48" s="9">
        <f t="shared" si="12"/>
        <v>14668.1696211901</v>
      </c>
    </row>
    <row r="49" spans="1:25" x14ac:dyDescent="0.3">
      <c r="A49" s="6">
        <v>43</v>
      </c>
      <c r="B49" s="28">
        <v>0</v>
      </c>
      <c r="C49" s="28">
        <f>Annuity!O49</f>
        <v>6147.5380567809707</v>
      </c>
      <c r="D49" s="28">
        <v>0</v>
      </c>
      <c r="E49" s="28">
        <v>0</v>
      </c>
      <c r="F49" s="28">
        <f>Annuity!P49</f>
        <v>141.32202290410169</v>
      </c>
      <c r="G49" s="9">
        <f t="shared" si="0"/>
        <v>141.32202290410169</v>
      </c>
      <c r="H49" s="9">
        <f>Inputs!$B$40*B49+Inputs!$C$40*C49+Inputs!$D$40*D49+Inputs!$E$40*G49</f>
        <v>-1501.5540084692173</v>
      </c>
      <c r="I49" s="9">
        <f>Inputs!$B$41*B49+Inputs!$C$41*C49+Inputs!$D$41*D49+Inputs!$E$41*G49</f>
        <v>6182.8685625069957</v>
      </c>
      <c r="J49" s="9">
        <f>Inputs!$B$42*B49+Inputs!$C$42*C49+Inputs!$D$42*D49+Inputs!$E$42*G49</f>
        <v>1607.5455256472935</v>
      </c>
      <c r="K49" s="9">
        <f>Inputs!$B$43*B49+Inputs!$C$43*C49+Inputs!$D$43*D49+Inputs!$E$43*G49</f>
        <v>1678.2065370993444</v>
      </c>
      <c r="L49" s="9">
        <f t="shared" si="1"/>
        <v>6184.3825343165972</v>
      </c>
      <c r="M49" s="9">
        <f>SQRT(MAX(B49^2+D49^2+E49^2+2*Inputs!$D$40*B49*D49+2*Inputs!$E$40*B49*E49+2*Inputs!$E$42*D49*E49,0))</f>
        <v>0</v>
      </c>
      <c r="N49" s="9">
        <f>SQRT(MAX(C49^2+F49^2+2*Inputs!$E$41*C49*F49,0))</f>
        <v>6184.3825343165972</v>
      </c>
      <c r="O49" s="9">
        <f t="shared" si="2"/>
        <v>6184.3825343165972</v>
      </c>
      <c r="P49" s="11">
        <f t="shared" si="3"/>
        <v>0</v>
      </c>
      <c r="Q49" s="9">
        <f t="shared" si="4"/>
        <v>0</v>
      </c>
      <c r="R49" s="9">
        <f t="shared" si="5"/>
        <v>6146.0331047077807</v>
      </c>
      <c r="S49" s="9">
        <f t="shared" si="6"/>
        <v>0</v>
      </c>
      <c r="T49" s="9">
        <f t="shared" si="7"/>
        <v>38.349429608816209</v>
      </c>
      <c r="U49" s="9">
        <f t="shared" si="8"/>
        <v>0</v>
      </c>
      <c r="V49" s="9">
        <f t="shared" si="9"/>
        <v>6184.3825343165972</v>
      </c>
      <c r="W49" s="14">
        <f t="shared" si="10"/>
        <v>0</v>
      </c>
      <c r="X49" s="9">
        <f t="shared" si="11"/>
        <v>0</v>
      </c>
      <c r="Y49" s="9">
        <f t="shared" si="12"/>
        <v>6184.3825343165981</v>
      </c>
    </row>
    <row r="50" spans="1:25" x14ac:dyDescent="0.3">
      <c r="A50" s="6">
        <v>44</v>
      </c>
      <c r="B50" s="28">
        <v>0</v>
      </c>
      <c r="C50" s="28">
        <f>Annuity!O50</f>
        <v>1702.7744619012685</v>
      </c>
      <c r="D50" s="28">
        <v>0</v>
      </c>
      <c r="E50" s="28">
        <v>0</v>
      </c>
      <c r="F50" s="28">
        <f>Annuity!P50</f>
        <v>53.437348296340161</v>
      </c>
      <c r="G50" s="9">
        <f t="shared" si="0"/>
        <v>53.437348296340161</v>
      </c>
      <c r="H50" s="9">
        <f>Inputs!$B$40*B50+Inputs!$C$40*C50+Inputs!$D$40*D50+Inputs!$E$40*G50</f>
        <v>-412.3342784012321</v>
      </c>
      <c r="I50" s="9">
        <f>Inputs!$B$41*B50+Inputs!$C$41*C50+Inputs!$D$41*D50+Inputs!$E$41*G50</f>
        <v>1716.1337989753536</v>
      </c>
      <c r="J50" s="9">
        <f>Inputs!$B$42*B50+Inputs!$C$42*C50+Inputs!$D$42*D50+Inputs!$E$42*G50</f>
        <v>452.4122896234872</v>
      </c>
      <c r="K50" s="9">
        <f>Inputs!$B$43*B50+Inputs!$C$43*C50+Inputs!$D$43*D50+Inputs!$E$43*G50</f>
        <v>479.13096377165732</v>
      </c>
      <c r="L50" s="9">
        <f t="shared" si="1"/>
        <v>1716.9135954646829</v>
      </c>
      <c r="M50" s="9">
        <f>SQRT(MAX(B50^2+D50^2+E50^2+2*Inputs!$D$40*B50*D50+2*Inputs!$E$40*B50*E50+2*Inputs!$E$42*D50*E50,0))</f>
        <v>0</v>
      </c>
      <c r="N50" s="9">
        <f>SQRT(MAX(C50^2+F50^2+2*Inputs!$E$41*C50*F50,0))</f>
        <v>1716.9135954646827</v>
      </c>
      <c r="O50" s="9">
        <f t="shared" si="2"/>
        <v>1716.9135954646827</v>
      </c>
      <c r="P50" s="11">
        <f t="shared" si="3"/>
        <v>-2.2204460492503131E-16</v>
      </c>
      <c r="Q50" s="9">
        <f t="shared" si="4"/>
        <v>0</v>
      </c>
      <c r="R50" s="9">
        <f t="shared" si="5"/>
        <v>1702.0010871950412</v>
      </c>
      <c r="S50" s="9">
        <f t="shared" si="6"/>
        <v>0</v>
      </c>
      <c r="T50" s="9">
        <f t="shared" si="7"/>
        <v>14.912508269641609</v>
      </c>
      <c r="U50" s="9">
        <f t="shared" si="8"/>
        <v>0</v>
      </c>
      <c r="V50" s="9">
        <f t="shared" si="9"/>
        <v>1716.9135954646829</v>
      </c>
      <c r="W50" s="14">
        <f t="shared" si="10"/>
        <v>0</v>
      </c>
      <c r="X50" s="9">
        <f t="shared" si="11"/>
        <v>0</v>
      </c>
      <c r="Y50" s="9">
        <f t="shared" si="12"/>
        <v>1716.9135954646827</v>
      </c>
    </row>
  </sheetData>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51"/>
  <sheetViews>
    <sheetView zoomScaleNormal="100" workbookViewId="0">
      <selection activeCell="J6" sqref="J6"/>
    </sheetView>
  </sheetViews>
  <sheetFormatPr defaultColWidth="8.6640625" defaultRowHeight="14.4" x14ac:dyDescent="0.3"/>
  <cols>
    <col min="1" max="1" width="8" customWidth="1"/>
    <col min="2" max="39" width="15" customWidth="1"/>
  </cols>
  <sheetData>
    <row r="1" spans="1:11" ht="17.399999999999999" x14ac:dyDescent="0.3">
      <c r="A1" s="5" t="s">
        <v>157</v>
      </c>
      <c r="B1" s="6"/>
      <c r="C1" s="6"/>
      <c r="D1" s="6"/>
      <c r="E1" s="6"/>
      <c r="F1" s="6"/>
      <c r="G1" s="6"/>
      <c r="H1" s="6"/>
      <c r="I1" s="6"/>
      <c r="J1" s="6"/>
      <c r="K1" s="6"/>
    </row>
    <row r="2" spans="1:11" x14ac:dyDescent="0.3">
      <c r="A2" s="6" t="s">
        <v>158</v>
      </c>
      <c r="B2" s="6"/>
      <c r="C2" s="6"/>
      <c r="D2" s="6"/>
      <c r="E2" s="6"/>
      <c r="F2" s="6"/>
      <c r="G2" s="6"/>
      <c r="H2" s="6"/>
      <c r="I2" s="6"/>
      <c r="J2" s="6"/>
      <c r="K2" s="6"/>
    </row>
    <row r="3" spans="1:11" x14ac:dyDescent="0.3">
      <c r="A3" s="6"/>
      <c r="B3" s="6"/>
      <c r="C3" s="6"/>
      <c r="D3" s="6"/>
      <c r="E3" s="6"/>
      <c r="F3" s="6"/>
      <c r="G3" s="6"/>
      <c r="H3" s="6"/>
      <c r="I3" s="6"/>
      <c r="J3" s="6"/>
      <c r="K3" s="6"/>
    </row>
    <row r="4" spans="1:11" x14ac:dyDescent="0.3">
      <c r="A4" s="6"/>
      <c r="B4" s="6"/>
      <c r="C4" s="6"/>
      <c r="D4" s="6"/>
      <c r="E4" s="6"/>
      <c r="F4" s="6"/>
      <c r="G4" s="6"/>
      <c r="H4" s="6"/>
      <c r="I4" s="6"/>
      <c r="J4" s="6"/>
      <c r="K4" s="6"/>
    </row>
    <row r="5" spans="1:11" ht="57.75" customHeight="1" x14ac:dyDescent="0.3">
      <c r="A5" s="8" t="s">
        <v>96</v>
      </c>
      <c r="B5" s="8" t="s">
        <v>159</v>
      </c>
      <c r="C5" s="8" t="s">
        <v>160</v>
      </c>
      <c r="D5" s="8" t="s">
        <v>161</v>
      </c>
      <c r="E5" s="8" t="s">
        <v>162</v>
      </c>
      <c r="F5" s="8" t="s">
        <v>163</v>
      </c>
      <c r="G5" s="8" t="s">
        <v>164</v>
      </c>
      <c r="H5" s="8" t="s">
        <v>165</v>
      </c>
      <c r="I5" s="8" t="s">
        <v>166</v>
      </c>
      <c r="J5" s="8" t="s">
        <v>167</v>
      </c>
      <c r="K5" s="8" t="s">
        <v>168</v>
      </c>
    </row>
    <row r="6" spans="1:11" x14ac:dyDescent="0.3">
      <c r="A6" s="6">
        <v>0</v>
      </c>
      <c r="B6" s="10">
        <f>Inputs!$B$5*Capital!L6*(1/(1+Inputs!$B$6))+(1/(1+Inputs!$B$6))*B7</f>
        <v>3900670.8314773766</v>
      </c>
      <c r="C6" s="10">
        <f>Inputs!$B$5*Capital!U6*(1/(1+Inputs!$B$6))+(1/(1+Inputs!$B$6))*C7</f>
        <v>1221598.9913793413</v>
      </c>
      <c r="D6" s="10">
        <f>Inputs!$B$5*Capital!V6*(1/(1+Inputs!$B$6))+(1/(1+Inputs!$B$6))*D7</f>
        <v>2679071.8400980351</v>
      </c>
      <c r="E6" s="10">
        <f>Inputs!$B$5*Capital!M6*(1/(1+Inputs!$B$6))+(1/(1+Inputs!$B$6))*E7</f>
        <v>2120324.0839846218</v>
      </c>
      <c r="F6" s="10">
        <f>Inputs!$B$5*Capital!N6*(1/(1+Inputs!$B$6))+(1/(1+Inputs!$B$6))*F7</f>
        <v>3343105.3961228123</v>
      </c>
      <c r="G6" s="9">
        <f>Inputs!$B$5*Capital!L6*(1/(1+Inputs!$B$6))</f>
        <v>254923.56063611241</v>
      </c>
      <c r="H6" s="9">
        <f t="shared" ref="H6:H50" si="0">B6-B7</f>
        <v>145551.14251087466</v>
      </c>
      <c r="I6" s="14">
        <f t="shared" ref="I6:I50" si="1">C6+D6-B6</f>
        <v>0</v>
      </c>
      <c r="J6" s="9">
        <f>Inputs!$B$5*Capital!X6*(1/(1+Inputs!$B$6))+(1/(1+Inputs!$B$6))*J7</f>
        <v>1422131.0133622363</v>
      </c>
      <c r="K6" s="9">
        <f>Inputs!$B$5*Capital!Y6*(1/(1+Inputs!$B$6))+(1/(1+Inputs!$B$6))*K7</f>
        <v>2478539.8181151394</v>
      </c>
    </row>
    <row r="7" spans="1:11" x14ac:dyDescent="0.3">
      <c r="A7" s="6">
        <v>1</v>
      </c>
      <c r="B7" s="9">
        <f>Inputs!$B$5*Capital!L7*(1/(1+Inputs!$B$6))+(1/(1+Inputs!$B$6))*B8</f>
        <v>3755119.688966502</v>
      </c>
      <c r="C7" s="9">
        <f>Inputs!$B$5*Capital!U7*(1/(1+Inputs!$B$6))+(1/(1+Inputs!$B$6))*C8</f>
        <v>1108423.8969297414</v>
      </c>
      <c r="D7" s="9">
        <f>Inputs!$B$5*Capital!V7*(1/(1+Inputs!$B$6))+(1/(1+Inputs!$B$6))*D8</f>
        <v>2646695.7920367606</v>
      </c>
      <c r="E7" s="9">
        <f>Inputs!$B$5*Capital!M7*(1/(1+Inputs!$B$6))+(1/(1+Inputs!$B$6))*E8</f>
        <v>1975796.2667753543</v>
      </c>
      <c r="F7" s="9">
        <f>Inputs!$B$5*Capital!N7*(1/(1+Inputs!$B$6))+(1/(1+Inputs!$B$6))*F8</f>
        <v>3260132.5158162024</v>
      </c>
      <c r="G7" s="9">
        <f>Inputs!$B$5*Capital!L7*(1/(1+Inputs!$B$6))</f>
        <v>246827.07507079878</v>
      </c>
      <c r="H7" s="9">
        <f t="shared" si="0"/>
        <v>141578.29665392777</v>
      </c>
      <c r="I7" s="14">
        <f t="shared" si="1"/>
        <v>0</v>
      </c>
      <c r="J7" s="9">
        <f>Inputs!$B$5*Capital!X7*(1/(1+Inputs!$B$6))+(1/(1+Inputs!$B$6))*J8</f>
        <v>1325166.845972995</v>
      </c>
      <c r="K7" s="9">
        <f>Inputs!$B$5*Capital!Y7*(1/(1+Inputs!$B$6))+(1/(1+Inputs!$B$6))*K8</f>
        <v>2429952.8429935062</v>
      </c>
    </row>
    <row r="8" spans="1:11" x14ac:dyDescent="0.3">
      <c r="A8" s="6">
        <v>2</v>
      </c>
      <c r="B8" s="9">
        <f>Inputs!$B$5*Capital!L8*(1/(1+Inputs!$B$6))+(1/(1+Inputs!$B$6))*B9</f>
        <v>3613541.3923125742</v>
      </c>
      <c r="C8" s="9">
        <f>Inputs!$B$5*Capital!U8*(1/(1+Inputs!$B$6))+(1/(1+Inputs!$B$6))*C9</f>
        <v>1004029.1834526228</v>
      </c>
      <c r="D8" s="9">
        <f>Inputs!$B$5*Capital!V8*(1/(1+Inputs!$B$6))+(1/(1+Inputs!$B$6))*D9</f>
        <v>2609512.2088599512</v>
      </c>
      <c r="E8" s="9">
        <f>Inputs!$B$5*Capital!M8*(1/(1+Inputs!$B$6))+(1/(1+Inputs!$B$6))*E9</f>
        <v>1835761.0432520141</v>
      </c>
      <c r="F8" s="9">
        <f>Inputs!$B$5*Capital!N8*(1/(1+Inputs!$B$6))+(1/(1+Inputs!$B$6))*F9</f>
        <v>3172547.0567334988</v>
      </c>
      <c r="G8" s="9">
        <f>Inputs!$B$5*Capital!L8*(1/(1+Inputs!$B$6))</f>
        <v>240011.95385620449</v>
      </c>
      <c r="H8" s="9">
        <f t="shared" si="0"/>
        <v>138806.07070251368</v>
      </c>
      <c r="I8" s="14">
        <f t="shared" si="1"/>
        <v>0</v>
      </c>
      <c r="J8" s="9">
        <f>Inputs!$B$5*Capital!X8*(1/(1+Inputs!$B$6))+(1/(1+Inputs!$B$6))*J9</f>
        <v>1233206.4287183126</v>
      </c>
      <c r="K8" s="9">
        <f>Inputs!$B$5*Capital!Y8*(1/(1+Inputs!$B$6))+(1/(1+Inputs!$B$6))*K9</f>
        <v>2380334.9635942606</v>
      </c>
    </row>
    <row r="9" spans="1:11" x14ac:dyDescent="0.3">
      <c r="A9" s="6">
        <v>3</v>
      </c>
      <c r="B9" s="9">
        <f>Inputs!$B$5*Capital!L9*(1/(1+Inputs!$B$6))+(1/(1+Inputs!$B$6))*B10</f>
        <v>3474735.3216100605</v>
      </c>
      <c r="C9" s="9">
        <f>Inputs!$B$5*Capital!U9*(1/(1+Inputs!$B$6))+(1/(1+Inputs!$B$6))*C10</f>
        <v>907123.04802424379</v>
      </c>
      <c r="D9" s="9">
        <f>Inputs!$B$5*Capital!V9*(1/(1+Inputs!$B$6))+(1/(1+Inputs!$B$6))*D10</f>
        <v>2567612.2735858168</v>
      </c>
      <c r="E9" s="9">
        <f>Inputs!$B$5*Capital!M9*(1/(1+Inputs!$B$6))+(1/(1+Inputs!$B$6))*E10</f>
        <v>1699091.3524888072</v>
      </c>
      <c r="F9" s="9">
        <f>Inputs!$B$5*Capital!N9*(1/(1+Inputs!$B$6))+(1/(1+Inputs!$B$6))*F10</f>
        <v>3080443.3574622329</v>
      </c>
      <c r="G9" s="9">
        <f>Inputs!$B$5*Capital!L9*(1/(1+Inputs!$B$6))</f>
        <v>237805.28260495106</v>
      </c>
      <c r="H9" s="9">
        <f t="shared" si="0"/>
        <v>140697.38143479778</v>
      </c>
      <c r="I9" s="14">
        <f t="shared" si="1"/>
        <v>0</v>
      </c>
      <c r="J9" s="9">
        <f>Inputs!$B$5*Capital!X9*(1/(1+Inputs!$B$6))+(1/(1+Inputs!$B$6))*J10</f>
        <v>1145141.1921385813</v>
      </c>
      <c r="K9" s="9">
        <f>Inputs!$B$5*Capital!Y9*(1/(1+Inputs!$B$6))+(1/(1+Inputs!$B$6))*K10</f>
        <v>2329594.1294714785</v>
      </c>
    </row>
    <row r="10" spans="1:11" x14ac:dyDescent="0.3">
      <c r="A10" s="6">
        <v>4</v>
      </c>
      <c r="B10" s="9">
        <f>Inputs!$B$5*Capital!L10*(1/(1+Inputs!$B$6))+(1/(1+Inputs!$B$6))*B11</f>
        <v>3334037.9401752627</v>
      </c>
      <c r="C10" s="9">
        <f>Inputs!$B$5*Capital!U10*(1/(1+Inputs!$B$6))+(1/(1+Inputs!$B$6))*C11</f>
        <v>813539.34163326467</v>
      </c>
      <c r="D10" s="9">
        <f>Inputs!$B$5*Capital!V10*(1/(1+Inputs!$B$6))+(1/(1+Inputs!$B$6))*D11</f>
        <v>2520498.5985419983</v>
      </c>
      <c r="E10" s="9">
        <f>Inputs!$B$5*Capital!M10*(1/(1+Inputs!$B$6))+(1/(1+Inputs!$B$6))*E11</f>
        <v>1563336.202677706</v>
      </c>
      <c r="F10" s="9">
        <f>Inputs!$B$5*Capital!N10*(1/(1+Inputs!$B$6))+(1/(1+Inputs!$B$6))*F11</f>
        <v>2983947.8425431089</v>
      </c>
      <c r="G10" s="9">
        <f>Inputs!$B$5*Capital!L10*(1/(1+Inputs!$B$6))</f>
        <v>237809.77524661939</v>
      </c>
      <c r="H10" s="9">
        <f t="shared" si="0"/>
        <v>144922.93029876007</v>
      </c>
      <c r="I10" s="14">
        <f t="shared" si="1"/>
        <v>0</v>
      </c>
      <c r="J10" s="9">
        <f>Inputs!$B$5*Capital!X10*(1/(1+Inputs!$B$6))+(1/(1+Inputs!$B$6))*J11</f>
        <v>1057736.7595626584</v>
      </c>
      <c r="K10" s="9">
        <f>Inputs!$B$5*Capital!Y10*(1/(1+Inputs!$B$6))+(1/(1+Inputs!$B$6))*K11</f>
        <v>2276301.1806126037</v>
      </c>
    </row>
    <row r="11" spans="1:11" x14ac:dyDescent="0.3">
      <c r="A11" s="6">
        <v>5</v>
      </c>
      <c r="B11" s="9">
        <f>Inputs!$B$5*Capital!L11*(1/(1+Inputs!$B$6))+(1/(1+Inputs!$B$6))*B12</f>
        <v>3189115.0098765027</v>
      </c>
      <c r="C11" s="9">
        <f>Inputs!$B$5*Capital!U11*(1/(1+Inputs!$B$6))+(1/(1+Inputs!$B$6))*C12</f>
        <v>721124.9910263276</v>
      </c>
      <c r="D11" s="9">
        <f>Inputs!$B$5*Capital!V11*(1/(1+Inputs!$B$6))+(1/(1+Inputs!$B$6))*D12</f>
        <v>2467990.0188501752</v>
      </c>
      <c r="E11" s="9">
        <f>Inputs!$B$5*Capital!M11*(1/(1+Inputs!$B$6))+(1/(1+Inputs!$B$6))*E12</f>
        <v>1427412.6920749943</v>
      </c>
      <c r="F11" s="9">
        <f>Inputs!$B$5*Capital!N11*(1/(1+Inputs!$B$6))+(1/(1+Inputs!$B$6))*F12</f>
        <v>2883221.509233979</v>
      </c>
      <c r="G11" s="9">
        <f>Inputs!$B$5*Capital!L11*(1/(1+Inputs!$B$6))</f>
        <v>236919.60280379327</v>
      </c>
      <c r="H11" s="9">
        <f t="shared" si="0"/>
        <v>148353.74059161218</v>
      </c>
      <c r="I11" s="14">
        <f t="shared" si="1"/>
        <v>0</v>
      </c>
      <c r="J11" s="9">
        <f>Inputs!$B$5*Capital!X11*(1/(1+Inputs!$B$6))+(1/(1+Inputs!$B$6))*J12</f>
        <v>969433.07331163157</v>
      </c>
      <c r="K11" s="9">
        <f>Inputs!$B$5*Capital!Y11*(1/(1+Inputs!$B$6))+(1/(1+Inputs!$B$6))*K12</f>
        <v>2219681.9365648706</v>
      </c>
    </row>
    <row r="12" spans="1:11" x14ac:dyDescent="0.3">
      <c r="A12" s="6">
        <v>6</v>
      </c>
      <c r="B12" s="9">
        <f>Inputs!$B$5*Capital!L12*(1/(1+Inputs!$B$6))+(1/(1+Inputs!$B$6))*B13</f>
        <v>3040761.2692848905</v>
      </c>
      <c r="C12" s="9">
        <f>Inputs!$B$5*Capital!U12*(1/(1+Inputs!$B$6))+(1/(1+Inputs!$B$6))*C13</f>
        <v>630510.16068067029</v>
      </c>
      <c r="D12" s="9">
        <f>Inputs!$B$5*Capital!V12*(1/(1+Inputs!$B$6))+(1/(1+Inputs!$B$6))*D13</f>
        <v>2410251.1086042202</v>
      </c>
      <c r="E12" s="9">
        <f>Inputs!$B$5*Capital!M12*(1/(1+Inputs!$B$6))+(1/(1+Inputs!$B$6))*E13</f>
        <v>1291873.2772188368</v>
      </c>
      <c r="F12" s="9">
        <f>Inputs!$B$5*Capital!N12*(1/(1+Inputs!$B$6))+(1/(1+Inputs!$B$6))*F13</f>
        <v>2778462.3345356518</v>
      </c>
      <c r="G12" s="9">
        <f>Inputs!$B$5*Capital!L12*(1/(1+Inputs!$B$6))</f>
        <v>235029.73608168357</v>
      </c>
      <c r="H12" s="9">
        <f t="shared" si="0"/>
        <v>150857.79008558718</v>
      </c>
      <c r="I12" s="14">
        <f t="shared" si="1"/>
        <v>0</v>
      </c>
      <c r="J12" s="9">
        <f>Inputs!$B$5*Capital!X12*(1/(1+Inputs!$B$6))+(1/(1+Inputs!$B$6))*J13</f>
        <v>880758.88590100943</v>
      </c>
      <c r="K12" s="9">
        <f>Inputs!$B$5*Capital!Y12*(1/(1+Inputs!$B$6))+(1/(1+Inputs!$B$6))*K13</f>
        <v>2160002.3833838808</v>
      </c>
    </row>
    <row r="13" spans="1:11" x14ac:dyDescent="0.3">
      <c r="A13" s="6">
        <v>7</v>
      </c>
      <c r="B13" s="9">
        <f>Inputs!$B$5*Capital!L13*(1/(1+Inputs!$B$6))+(1/(1+Inputs!$B$6))*B14</f>
        <v>2889903.4791993033</v>
      </c>
      <c r="C13" s="9">
        <f>Inputs!$B$5*Capital!U13*(1/(1+Inputs!$B$6))+(1/(1+Inputs!$B$6))*C14</f>
        <v>542531.47338815976</v>
      </c>
      <c r="D13" s="9">
        <f>Inputs!$B$5*Capital!V13*(1/(1+Inputs!$B$6))+(1/(1+Inputs!$B$6))*D14</f>
        <v>2347372.0058111437</v>
      </c>
      <c r="E13" s="9">
        <f>Inputs!$B$5*Capital!M13*(1/(1+Inputs!$B$6))+(1/(1+Inputs!$B$6))*E14</f>
        <v>1157482.6184239232</v>
      </c>
      <c r="F13" s="9">
        <f>Inputs!$B$5*Capital!N13*(1/(1+Inputs!$B$6))+(1/(1+Inputs!$B$6))*F14</f>
        <v>2669907.54102423</v>
      </c>
      <c r="G13" s="9">
        <f>Inputs!$B$5*Capital!L13*(1/(1+Inputs!$B$6))</f>
        <v>232096.27913299785</v>
      </c>
      <c r="H13" s="9">
        <f t="shared" si="0"/>
        <v>152362.0631310083</v>
      </c>
      <c r="I13" s="14">
        <f t="shared" si="1"/>
        <v>0</v>
      </c>
      <c r="J13" s="9">
        <f>Inputs!$B$5*Capital!X13*(1/(1+Inputs!$B$6))+(1/(1+Inputs!$B$6))*J14</f>
        <v>792362.13171437674</v>
      </c>
      <c r="K13" s="9">
        <f>Inputs!$B$5*Capital!Y13*(1/(1+Inputs!$B$6))+(1/(1+Inputs!$B$6))*K14</f>
        <v>2097541.3474849262</v>
      </c>
    </row>
    <row r="14" spans="1:11" x14ac:dyDescent="0.3">
      <c r="A14" s="6">
        <v>8</v>
      </c>
      <c r="B14" s="9">
        <f>Inputs!$B$5*Capital!L14*(1/(1+Inputs!$B$6))+(1/(1+Inputs!$B$6))*B15</f>
        <v>2737541.416068295</v>
      </c>
      <c r="C14" s="9">
        <f>Inputs!$B$5*Capital!U14*(1/(1+Inputs!$B$6))+(1/(1+Inputs!$B$6))*C15</f>
        <v>458146.09217295889</v>
      </c>
      <c r="D14" s="9">
        <f>Inputs!$B$5*Capital!V14*(1/(1+Inputs!$B$6))+(1/(1+Inputs!$B$6))*D15</f>
        <v>2279395.3238953357</v>
      </c>
      <c r="E14" s="9">
        <f>Inputs!$B$5*Capital!M14*(1/(1+Inputs!$B$6))+(1/(1+Inputs!$B$6))*E15</f>
        <v>1025151.08888932</v>
      </c>
      <c r="F14" s="9">
        <f>Inputs!$B$5*Capital!N14*(1/(1+Inputs!$B$6))+(1/(1+Inputs!$B$6))*F15</f>
        <v>2557835.6487717759</v>
      </c>
      <c r="G14" s="9">
        <f>Inputs!$B$5*Capital!L14*(1/(1+Inputs!$B$6))</f>
        <v>228121.61414915419</v>
      </c>
      <c r="H14" s="9">
        <f t="shared" si="0"/>
        <v>152839.02009157976</v>
      </c>
      <c r="I14" s="14">
        <f t="shared" si="1"/>
        <v>0</v>
      </c>
      <c r="J14" s="9">
        <f>Inputs!$B$5*Capital!X14*(1/(1+Inputs!$B$6))+(1/(1+Inputs!$B$6))*J15</f>
        <v>704959.61923286074</v>
      </c>
      <c r="K14" s="9">
        <f>Inputs!$B$5*Capital!Y14*(1/(1+Inputs!$B$6))+(1/(1+Inputs!$B$6))*K15</f>
        <v>2032581.7968354337</v>
      </c>
    </row>
    <row r="15" spans="1:11" x14ac:dyDescent="0.3">
      <c r="A15" s="6">
        <v>9</v>
      </c>
      <c r="B15" s="9">
        <f>Inputs!$B$5*Capital!L15*(1/(1+Inputs!$B$6))+(1/(1+Inputs!$B$6))*B16</f>
        <v>2584702.3959767153</v>
      </c>
      <c r="C15" s="9">
        <f>Inputs!$B$5*Capital!U15*(1/(1+Inputs!$B$6))+(1/(1+Inputs!$B$6))*C16</f>
        <v>378365.01440276636</v>
      </c>
      <c r="D15" s="9">
        <f>Inputs!$B$5*Capital!V15*(1/(1+Inputs!$B$6))+(1/(1+Inputs!$B$6))*D16</f>
        <v>2206337.3815739481</v>
      </c>
      <c r="E15" s="9">
        <f>Inputs!$B$5*Capital!M15*(1/(1+Inputs!$B$6))+(1/(1+Inputs!$B$6))*E16</f>
        <v>895884.52856235835</v>
      </c>
      <c r="F15" s="9">
        <f>Inputs!$B$5*Capital!N15*(1/(1+Inputs!$B$6))+(1/(1+Inputs!$B$6))*F16</f>
        <v>2442568.2285762192</v>
      </c>
      <c r="G15" s="9">
        <f>Inputs!$B$5*Capital!L15*(1/(1+Inputs!$B$6))</f>
        <v>223143.64845307681</v>
      </c>
      <c r="H15" s="9">
        <f t="shared" si="0"/>
        <v>152296.88602736779</v>
      </c>
      <c r="I15" s="14">
        <f t="shared" si="1"/>
        <v>0</v>
      </c>
      <c r="J15" s="9">
        <f>Inputs!$B$5*Capital!X15*(1/(1+Inputs!$B$6))+(1/(1+Inputs!$B$6))*J16</f>
        <v>619299.0916575758</v>
      </c>
      <c r="K15" s="9">
        <f>Inputs!$B$5*Capital!Y15*(1/(1+Inputs!$B$6))+(1/(1+Inputs!$B$6))*K16</f>
        <v>1965403.3043191386</v>
      </c>
    </row>
    <row r="16" spans="1:11" x14ac:dyDescent="0.3">
      <c r="A16" s="6">
        <v>10</v>
      </c>
      <c r="B16" s="9">
        <f>Inputs!$B$5*Capital!L16*(1/(1+Inputs!$B$6))+(1/(1+Inputs!$B$6))*B17</f>
        <v>2432405.5099493475</v>
      </c>
      <c r="C16" s="9">
        <f>Inputs!$B$5*Capital!U16*(1/(1+Inputs!$B$6))+(1/(1+Inputs!$B$6))*C17</f>
        <v>304200.28990351415</v>
      </c>
      <c r="D16" s="9">
        <f>Inputs!$B$5*Capital!V16*(1/(1+Inputs!$B$6))+(1/(1+Inputs!$B$6))*D17</f>
        <v>2128205.2200458325</v>
      </c>
      <c r="E16" s="9">
        <f>Inputs!$B$5*Capital!M16*(1/(1+Inputs!$B$6))+(1/(1+Inputs!$B$6))*E17</f>
        <v>770747.83007182064</v>
      </c>
      <c r="F16" s="9">
        <f>Inputs!$B$5*Capital!N16*(1/(1+Inputs!$B$6))+(1/(1+Inputs!$B$6))*F17</f>
        <v>2324471.2591172601</v>
      </c>
      <c r="G16" s="9">
        <f>Inputs!$B$5*Capital!L16*(1/(1+Inputs!$B$6))</f>
        <v>217228.45405211661</v>
      </c>
      <c r="H16" s="9">
        <f t="shared" si="0"/>
        <v>150773.14237520006</v>
      </c>
      <c r="I16" s="14">
        <f t="shared" si="1"/>
        <v>0</v>
      </c>
      <c r="J16" s="9">
        <f>Inputs!$B$5*Capital!X16*(1/(1+Inputs!$B$6))+(1/(1+Inputs!$B$6))*J17</f>
        <v>536131.67956141301</v>
      </c>
      <c r="K16" s="9">
        <f>Inputs!$B$5*Capital!Y16*(1/(1+Inputs!$B$6))+(1/(1+Inputs!$B$6))*K17</f>
        <v>1896273.8303879339</v>
      </c>
    </row>
    <row r="17" spans="1:11" x14ac:dyDescent="0.3">
      <c r="A17" s="6">
        <v>11</v>
      </c>
      <c r="B17" s="9">
        <f>Inputs!$B$5*Capital!L17*(1/(1+Inputs!$B$6))+(1/(1+Inputs!$B$6))*B18</f>
        <v>2281632.3675741474</v>
      </c>
      <c r="C17" s="9">
        <f>Inputs!$B$5*Capital!U17*(1/(1+Inputs!$B$6))+(1/(1+Inputs!$B$6))*C18</f>
        <v>236621.36578257577</v>
      </c>
      <c r="D17" s="9">
        <f>Inputs!$B$5*Capital!V17*(1/(1+Inputs!$B$6))+(1/(1+Inputs!$B$6))*D18</f>
        <v>2045011.0017915708</v>
      </c>
      <c r="E17" s="9">
        <f>Inputs!$B$5*Capital!M17*(1/(1+Inputs!$B$6))+(1/(1+Inputs!$B$6))*E18</f>
        <v>650840.1411888561</v>
      </c>
      <c r="F17" s="9">
        <f>Inputs!$B$5*Capital!N17*(1/(1+Inputs!$B$6))+(1/(1+Inputs!$B$6))*F18</f>
        <v>2203955.9778928426</v>
      </c>
      <c r="G17" s="9">
        <f>Inputs!$B$5*Capital!L17*(1/(1+Inputs!$B$6))</f>
        <v>210465.8118643568</v>
      </c>
      <c r="H17" s="9">
        <f t="shared" si="0"/>
        <v>148330.81519306311</v>
      </c>
      <c r="I17" s="14">
        <f t="shared" si="1"/>
        <v>0</v>
      </c>
      <c r="J17" s="9">
        <f>Inputs!$B$5*Capital!X17*(1/(1+Inputs!$B$6))+(1/(1+Inputs!$B$6))*J18</f>
        <v>456193.17748786637</v>
      </c>
      <c r="K17" s="9">
        <f>Inputs!$B$5*Capital!Y17*(1/(1+Inputs!$B$6))+(1/(1+Inputs!$B$6))*K18</f>
        <v>1825439.1900862809</v>
      </c>
    </row>
    <row r="18" spans="1:11" x14ac:dyDescent="0.3">
      <c r="A18" s="6">
        <v>12</v>
      </c>
      <c r="B18" s="9">
        <f>Inputs!$B$5*Capital!L18*(1/(1+Inputs!$B$6))+(1/(1+Inputs!$B$6))*B19</f>
        <v>2133301.5523810843</v>
      </c>
      <c r="C18" s="9">
        <f>Inputs!$B$5*Capital!U18*(1/(1+Inputs!$B$6))+(1/(1+Inputs!$B$6))*C19</f>
        <v>176516.05203011518</v>
      </c>
      <c r="D18" s="9">
        <f>Inputs!$B$5*Capital!V18*(1/(1+Inputs!$B$6))+(1/(1+Inputs!$B$6))*D19</f>
        <v>1956785.5003509682</v>
      </c>
      <c r="E18" s="9">
        <f>Inputs!$B$5*Capital!M18*(1/(1+Inputs!$B$6))+(1/(1+Inputs!$B$6))*E19</f>
        <v>537279.94021148421</v>
      </c>
      <c r="F18" s="9">
        <f>Inputs!$B$5*Capital!N18*(1/(1+Inputs!$B$6))+(1/(1+Inputs!$B$6))*F19</f>
        <v>2081479.103418997</v>
      </c>
      <c r="G18" s="9">
        <f>Inputs!$B$5*Capital!L18*(1/(1+Inputs!$B$6))</f>
        <v>202967.46687571757</v>
      </c>
      <c r="H18" s="9">
        <f t="shared" si="0"/>
        <v>145057.44431055663</v>
      </c>
      <c r="I18" s="14">
        <f t="shared" si="1"/>
        <v>0</v>
      </c>
      <c r="J18" s="9">
        <f>Inputs!$B$5*Capital!X18*(1/(1+Inputs!$B$6))+(1/(1+Inputs!$B$6))*J19</f>
        <v>380193.13694989576</v>
      </c>
      <c r="K18" s="9">
        <f>Inputs!$B$5*Capital!Y18*(1/(1+Inputs!$B$6))+(1/(1+Inputs!$B$6))*K19</f>
        <v>1753108.4154311884</v>
      </c>
    </row>
    <row r="19" spans="1:11" x14ac:dyDescent="0.3">
      <c r="A19" s="6">
        <v>13</v>
      </c>
      <c r="B19" s="9">
        <f>Inputs!$B$5*Capital!L19*(1/(1+Inputs!$B$6))+(1/(1+Inputs!$B$6))*B20</f>
        <v>1988244.1080705277</v>
      </c>
      <c r="C19" s="9">
        <f>Inputs!$B$5*Capital!U19*(1/(1+Inputs!$B$6))+(1/(1+Inputs!$B$6))*C20</f>
        <v>124651.36402718187</v>
      </c>
      <c r="D19" s="9">
        <f>Inputs!$B$5*Capital!V19*(1/(1+Inputs!$B$6))+(1/(1+Inputs!$B$6))*D20</f>
        <v>1863592.7440433449</v>
      </c>
      <c r="E19" s="9">
        <f>Inputs!$B$5*Capital!M19*(1/(1+Inputs!$B$6))+(1/(1+Inputs!$B$6))*E20</f>
        <v>431198.75821519759</v>
      </c>
      <c r="F19" s="9">
        <f>Inputs!$B$5*Capital!N19*(1/(1+Inputs!$B$6))+(1/(1+Inputs!$B$6))*F20</f>
        <v>1957542.2949416658</v>
      </c>
      <c r="G19" s="9">
        <f>Inputs!$B$5*Capital!L19*(1/(1+Inputs!$B$6))</f>
        <v>194868.23760383707</v>
      </c>
      <c r="H19" s="9">
        <f t="shared" si="0"/>
        <v>141066.96148983645</v>
      </c>
      <c r="I19" s="14">
        <f t="shared" si="1"/>
        <v>0</v>
      </c>
      <c r="J19" s="9">
        <f>Inputs!$B$5*Capital!X19*(1/(1+Inputs!$B$6))+(1/(1+Inputs!$B$6))*J20</f>
        <v>308811.4776966116</v>
      </c>
      <c r="K19" s="9">
        <f>Inputs!$B$5*Capital!Y19*(1/(1+Inputs!$B$6))+(1/(1+Inputs!$B$6))*K20</f>
        <v>1679432.6303739159</v>
      </c>
    </row>
    <row r="20" spans="1:11" x14ac:dyDescent="0.3">
      <c r="A20" s="6">
        <v>14</v>
      </c>
      <c r="B20" s="9">
        <f>Inputs!$B$5*Capital!L20*(1/(1+Inputs!$B$6))+(1/(1+Inputs!$B$6))*B21</f>
        <v>1847177.1465806912</v>
      </c>
      <c r="C20" s="9">
        <f>Inputs!$B$5*Capital!U20*(1/(1+Inputs!$B$6))+(1/(1+Inputs!$B$6))*C21</f>
        <v>81628.477284696331</v>
      </c>
      <c r="D20" s="9">
        <f>Inputs!$B$5*Capital!V20*(1/(1+Inputs!$B$6))+(1/(1+Inputs!$B$6))*D21</f>
        <v>1765548.6692959941</v>
      </c>
      <c r="E20" s="9">
        <f>Inputs!$B$5*Capital!M20*(1/(1+Inputs!$B$6))+(1/(1+Inputs!$B$6))*E21</f>
        <v>333742.78319049231</v>
      </c>
      <c r="F20" s="9">
        <f>Inputs!$B$5*Capital!N20*(1/(1+Inputs!$B$6))+(1/(1+Inputs!$B$6))*F21</f>
        <v>1832690.7067951441</v>
      </c>
      <c r="G20" s="9">
        <f>Inputs!$B$5*Capital!L20*(1/(1+Inputs!$B$6))</f>
        <v>186330.50331362282</v>
      </c>
      <c r="H20" s="9">
        <f t="shared" si="0"/>
        <v>136505.10401561088</v>
      </c>
      <c r="I20" s="14">
        <f t="shared" si="1"/>
        <v>0</v>
      </c>
      <c r="J20" s="9">
        <f>Inputs!$B$5*Capital!X20*(1/(1+Inputs!$B$6))+(1/(1+Inputs!$B$6))*J21</f>
        <v>242703.32041538</v>
      </c>
      <c r="K20" s="9">
        <f>Inputs!$B$5*Capital!Y20*(1/(1+Inputs!$B$6))+(1/(1+Inputs!$B$6))*K21</f>
        <v>1604473.826165311</v>
      </c>
    </row>
    <row r="21" spans="1:11" x14ac:dyDescent="0.3">
      <c r="A21" s="6">
        <v>15</v>
      </c>
      <c r="B21" s="9">
        <f>Inputs!$B$5*Capital!L21*(1/(1+Inputs!$B$6))+(1/(1+Inputs!$B$6))*B22</f>
        <v>1710672.0425650803</v>
      </c>
      <c r="C21" s="9">
        <f>Inputs!$B$5*Capital!U21*(1/(1+Inputs!$B$6))+(1/(1+Inputs!$B$6))*C22</f>
        <v>47823.967868802662</v>
      </c>
      <c r="D21" s="9">
        <f>Inputs!$B$5*Capital!V21*(1/(1+Inputs!$B$6))+(1/(1+Inputs!$B$6))*D22</f>
        <v>1662848.074696277</v>
      </c>
      <c r="E21" s="9">
        <f>Inputs!$B$5*Capital!M21*(1/(1+Inputs!$B$6))+(1/(1+Inputs!$B$6))*E22</f>
        <v>246081.94611240775</v>
      </c>
      <c r="F21" s="9">
        <f>Inputs!$B$5*Capital!N21*(1/(1+Inputs!$B$6))+(1/(1+Inputs!$B$6))*F22</f>
        <v>1707510.4888005364</v>
      </c>
      <c r="G21" s="9">
        <f>Inputs!$B$5*Capital!L21*(1/(1+Inputs!$B$6))</f>
        <v>177553.00315769025</v>
      </c>
      <c r="H21" s="9">
        <f t="shared" si="0"/>
        <v>131559.43197546853</v>
      </c>
      <c r="I21" s="14">
        <f t="shared" si="1"/>
        <v>0</v>
      </c>
      <c r="J21" s="9">
        <f>Inputs!$B$5*Capital!X21*(1/(1+Inputs!$B$6))+(1/(1+Inputs!$B$6))*J22</f>
        <v>182514.41226998929</v>
      </c>
      <c r="K21" s="9">
        <f>Inputs!$B$5*Capital!Y21*(1/(1+Inputs!$B$6))+(1/(1+Inputs!$B$6))*K22</f>
        <v>1528157.6302950911</v>
      </c>
    </row>
    <row r="22" spans="1:11" x14ac:dyDescent="0.3">
      <c r="A22" s="6">
        <v>16</v>
      </c>
      <c r="B22" s="9">
        <f>Inputs!$B$5*Capital!L22*(1/(1+Inputs!$B$6))+(1/(1+Inputs!$B$6))*B23</f>
        <v>1579112.6105896118</v>
      </c>
      <c r="C22" s="9">
        <f>Inputs!$B$5*Capital!U22*(1/(1+Inputs!$B$6))+(1/(1+Inputs!$B$6))*C23</f>
        <v>23306.213993108129</v>
      </c>
      <c r="D22" s="9">
        <f>Inputs!$B$5*Capital!V22*(1/(1+Inputs!$B$6))+(1/(1+Inputs!$B$6))*D23</f>
        <v>1555806.396596503</v>
      </c>
      <c r="E22" s="9">
        <f>Inputs!$B$5*Capital!M22*(1/(1+Inputs!$B$6))+(1/(1+Inputs!$B$6))*E23</f>
        <v>169426.34456929448</v>
      </c>
      <c r="F22" s="9">
        <f>Inputs!$B$5*Capital!N22*(1/(1+Inputs!$B$6))+(1/(1+Inputs!$B$6))*F23</f>
        <v>1582625.0832786856</v>
      </c>
      <c r="G22" s="9">
        <f>Inputs!$B$5*Capital!L22*(1/(1+Inputs!$B$6))</f>
        <v>168785.23031018249</v>
      </c>
      <c r="H22" s="9">
        <f t="shared" si="0"/>
        <v>126475.4089017997</v>
      </c>
      <c r="I22" s="14">
        <f t="shared" si="1"/>
        <v>0</v>
      </c>
      <c r="J22" s="9">
        <f>Inputs!$B$5*Capital!X22*(1/(1+Inputs!$B$6))+(1/(1+Inputs!$B$6))*J23</f>
        <v>128912.70343281105</v>
      </c>
      <c r="K22" s="9">
        <f>Inputs!$B$5*Capital!Y22*(1/(1+Inputs!$B$6))+(1/(1+Inputs!$B$6))*K23</f>
        <v>1450199.9071568006</v>
      </c>
    </row>
    <row r="23" spans="1:11" x14ac:dyDescent="0.3">
      <c r="A23" s="6">
        <v>17</v>
      </c>
      <c r="B23" s="9">
        <f>Inputs!$B$5*Capital!L23*(1/(1+Inputs!$B$6))+(1/(1+Inputs!$B$6))*B24</f>
        <v>1452637.2016878121</v>
      </c>
      <c r="C23" s="9">
        <f>Inputs!$B$5*Capital!U23*(1/(1+Inputs!$B$6))+(1/(1+Inputs!$B$6))*C24</f>
        <v>7711.5593677489396</v>
      </c>
      <c r="D23" s="9">
        <f>Inputs!$B$5*Capital!V23*(1/(1+Inputs!$B$6))+(1/(1+Inputs!$B$6))*D24</f>
        <v>1444925.6423200625</v>
      </c>
      <c r="E23" s="9">
        <f>Inputs!$B$5*Capital!M23*(1/(1+Inputs!$B$6))+(1/(1+Inputs!$B$6))*E24</f>
        <v>105050.00145611147</v>
      </c>
      <c r="F23" s="9">
        <f>Inputs!$B$5*Capital!N23*(1/(1+Inputs!$B$6))+(1/(1+Inputs!$B$6))*F24</f>
        <v>1458690.175213909</v>
      </c>
      <c r="G23" s="9">
        <f>Inputs!$B$5*Capital!L23*(1/(1+Inputs!$B$6))</f>
        <v>160348.67547552372</v>
      </c>
      <c r="H23" s="9">
        <f t="shared" si="0"/>
        <v>121580.01968915528</v>
      </c>
      <c r="I23" s="14">
        <f t="shared" si="1"/>
        <v>0</v>
      </c>
      <c r="J23" s="9">
        <f>Inputs!$B$5*Capital!X23*(1/(1+Inputs!$B$6))+(1/(1+Inputs!$B$6))*J24</f>
        <v>82648.287123369941</v>
      </c>
      <c r="K23" s="9">
        <f>Inputs!$B$5*Capital!Y23*(1/(1+Inputs!$B$6))+(1/(1+Inputs!$B$6))*K24</f>
        <v>1369988.9145644421</v>
      </c>
    </row>
    <row r="24" spans="1:11" x14ac:dyDescent="0.3">
      <c r="A24" s="6">
        <v>18</v>
      </c>
      <c r="B24" s="9">
        <f>Inputs!$B$5*Capital!L24*(1/(1+Inputs!$B$6))+(1/(1+Inputs!$B$6))*B25</f>
        <v>1331057.1819986568</v>
      </c>
      <c r="C24" s="9">
        <f>Inputs!$B$5*Capital!U24*(1/(1+Inputs!$B$6))+(1/(1+Inputs!$B$6))*C25</f>
        <v>61.460135422983058</v>
      </c>
      <c r="D24" s="9">
        <f>Inputs!$B$5*Capital!V24*(1/(1+Inputs!$B$6))+(1/(1+Inputs!$B$6))*D25</f>
        <v>1330995.7218632335</v>
      </c>
      <c r="E24" s="9">
        <f>Inputs!$B$5*Capital!M24*(1/(1+Inputs!$B$6))+(1/(1+Inputs!$B$6))*E25</f>
        <v>54321.983716159302</v>
      </c>
      <c r="F24" s="9">
        <f>Inputs!$B$5*Capital!N24*(1/(1+Inputs!$B$6))+(1/(1+Inputs!$B$6))*F25</f>
        <v>1336387.1670016123</v>
      </c>
      <c r="G24" s="9">
        <f>Inputs!$B$5*Capital!L24*(1/(1+Inputs!$B$6))</f>
        <v>152664.96060587591</v>
      </c>
      <c r="H24" s="9">
        <f t="shared" si="0"/>
        <v>117313.19396409253</v>
      </c>
      <c r="I24" s="14">
        <f t="shared" si="1"/>
        <v>0</v>
      </c>
      <c r="J24" s="9">
        <f>Inputs!$B$5*Capital!X24*(1/(1+Inputs!$B$6))+(1/(1+Inputs!$B$6))*J25</f>
        <v>44668.683914684931</v>
      </c>
      <c r="K24" s="9">
        <f>Inputs!$B$5*Capital!Y24*(1/(1+Inputs!$B$6))+(1/(1+Inputs!$B$6))*K25</f>
        <v>1286388.4980839719</v>
      </c>
    </row>
    <row r="25" spans="1:11" x14ac:dyDescent="0.3">
      <c r="A25" s="6">
        <v>19</v>
      </c>
      <c r="B25" s="9">
        <f>Inputs!$B$5*Capital!L25*(1/(1+Inputs!$B$6))+(1/(1+Inputs!$B$6))*B26</f>
        <v>1213743.9880345643</v>
      </c>
      <c r="C25" s="9">
        <f>Inputs!$B$5*Capital!U25*(1/(1+Inputs!$B$6))+(1/(1+Inputs!$B$6))*C26</f>
        <v>-1494.5170599982998</v>
      </c>
      <c r="D25" s="9">
        <f>Inputs!$B$5*Capital!V25*(1/(1+Inputs!$B$6))+(1/(1+Inputs!$B$6))*D26</f>
        <v>1215238.5050945622</v>
      </c>
      <c r="E25" s="9">
        <f>Inputs!$B$5*Capital!M25*(1/(1+Inputs!$B$6))+(1/(1+Inputs!$B$6))*E26</f>
        <v>18744.823080528731</v>
      </c>
      <c r="F25" s="9">
        <f>Inputs!$B$5*Capital!N25*(1/(1+Inputs!$B$6))+(1/(1+Inputs!$B$6))*F26</f>
        <v>1216415.0754404562</v>
      </c>
      <c r="G25" s="9">
        <f>Inputs!$B$5*Capital!L25*(1/(1+Inputs!$B$6))</f>
        <v>146286.91161213015</v>
      </c>
      <c r="H25" s="9">
        <f t="shared" si="0"/>
        <v>114263.19931945717</v>
      </c>
      <c r="I25" s="14">
        <f t="shared" si="1"/>
        <v>0</v>
      </c>
      <c r="J25" s="9">
        <f>Inputs!$B$5*Capital!X25*(1/(1+Inputs!$B$6))+(1/(1+Inputs!$B$6))*J26</f>
        <v>16351.080100219848</v>
      </c>
      <c r="K25" s="9">
        <f>Inputs!$B$5*Capital!Y25*(1/(1+Inputs!$B$6))+(1/(1+Inputs!$B$6))*K26</f>
        <v>1197392.9079343444</v>
      </c>
    </row>
    <row r="26" spans="1:11" x14ac:dyDescent="0.3">
      <c r="A26" s="6">
        <v>20</v>
      </c>
      <c r="B26" s="9">
        <f>Inputs!$B$5*Capital!L26*(1/(1+Inputs!$B$6))+(1/(1+Inputs!$B$6))*B27</f>
        <v>1099480.7887151071</v>
      </c>
      <c r="C26" s="9">
        <f>Inputs!$B$5*Capital!U26*(1/(1+Inputs!$B$6))+(1/(1+Inputs!$B$6))*C27</f>
        <v>0</v>
      </c>
      <c r="D26" s="9">
        <f>Inputs!$B$5*Capital!V26*(1/(1+Inputs!$B$6))+(1/(1+Inputs!$B$6))*D27</f>
        <v>1099480.7887151069</v>
      </c>
      <c r="E26" s="9">
        <f>Inputs!$B$5*Capital!M26*(1/(1+Inputs!$B$6))+(1/(1+Inputs!$B$6))*E27</f>
        <v>0</v>
      </c>
      <c r="F26" s="9">
        <f>Inputs!$B$5*Capital!N26*(1/(1+Inputs!$B$6))+(1/(1+Inputs!$B$6))*F27</f>
        <v>1099480.7887151071</v>
      </c>
      <c r="G26" s="9">
        <f>Inputs!$B$5*Capital!L26*(1/(1+Inputs!$B$6))</f>
        <v>141919.93674789733</v>
      </c>
      <c r="H26" s="9">
        <f t="shared" si="0"/>
        <v>113193.1111888811</v>
      </c>
      <c r="I26" s="14">
        <f t="shared" si="1"/>
        <v>0</v>
      </c>
      <c r="J26" s="9">
        <f>Inputs!$B$5*Capital!X26*(1/(1+Inputs!$B$6))+(1/(1+Inputs!$B$6))*J27</f>
        <v>0</v>
      </c>
      <c r="K26" s="9">
        <f>Inputs!$B$5*Capital!Y26*(1/(1+Inputs!$B$6))+(1/(1+Inputs!$B$6))*K27</f>
        <v>1099480.7887151071</v>
      </c>
    </row>
    <row r="27" spans="1:11" x14ac:dyDescent="0.3">
      <c r="A27" s="6">
        <v>21</v>
      </c>
      <c r="B27" s="9">
        <f>Inputs!$B$5*Capital!L27*(1/(1+Inputs!$B$6))+(1/(1+Inputs!$B$6))*B28</f>
        <v>986287.67752622603</v>
      </c>
      <c r="C27" s="9">
        <f>Inputs!$B$5*Capital!U27*(1/(1+Inputs!$B$6))+(1/(1+Inputs!$B$6))*C28</f>
        <v>0</v>
      </c>
      <c r="D27" s="9">
        <f>Inputs!$B$5*Capital!V27*(1/(1+Inputs!$B$6))+(1/(1+Inputs!$B$6))*D28</f>
        <v>986287.67752622603</v>
      </c>
      <c r="E27" s="9">
        <f>Inputs!$B$5*Capital!M27*(1/(1+Inputs!$B$6))+(1/(1+Inputs!$B$6))*E28</f>
        <v>0</v>
      </c>
      <c r="F27" s="9">
        <f>Inputs!$B$5*Capital!N27*(1/(1+Inputs!$B$6))+(1/(1+Inputs!$B$6))*F28</f>
        <v>986287.67752622603</v>
      </c>
      <c r="G27" s="9">
        <f>Inputs!$B$5*Capital!L27*(1/(1+Inputs!$B$6))</f>
        <v>134323.95968531424</v>
      </c>
      <c r="H27" s="9">
        <f t="shared" si="0"/>
        <v>108765.04815008689</v>
      </c>
      <c r="I27" s="14">
        <f t="shared" si="1"/>
        <v>0</v>
      </c>
      <c r="J27" s="9">
        <f>Inputs!$B$5*Capital!X27*(1/(1+Inputs!$B$6))+(1/(1+Inputs!$B$6))*J28</f>
        <v>0</v>
      </c>
      <c r="K27" s="9">
        <f>Inputs!$B$5*Capital!Y27*(1/(1+Inputs!$B$6))+(1/(1+Inputs!$B$6))*K28</f>
        <v>986287.67752622615</v>
      </c>
    </row>
    <row r="28" spans="1:11" x14ac:dyDescent="0.3">
      <c r="A28" s="6">
        <v>22</v>
      </c>
      <c r="B28" s="9">
        <f>Inputs!$B$5*Capital!L28*(1/(1+Inputs!$B$6))+(1/(1+Inputs!$B$6))*B29</f>
        <v>877522.62937613914</v>
      </c>
      <c r="C28" s="9">
        <f>Inputs!$B$5*Capital!U28*(1/(1+Inputs!$B$6))+(1/(1+Inputs!$B$6))*C29</f>
        <v>0</v>
      </c>
      <c r="D28" s="9">
        <f>Inputs!$B$5*Capital!V28*(1/(1+Inputs!$B$6))+(1/(1+Inputs!$B$6))*D29</f>
        <v>877522.62937613914</v>
      </c>
      <c r="E28" s="9">
        <f>Inputs!$B$5*Capital!M28*(1/(1+Inputs!$B$6))+(1/(1+Inputs!$B$6))*E29</f>
        <v>0</v>
      </c>
      <c r="F28" s="9">
        <f>Inputs!$B$5*Capital!N28*(1/(1+Inputs!$B$6))+(1/(1+Inputs!$B$6))*F29</f>
        <v>877522.62937613914</v>
      </c>
      <c r="G28" s="9">
        <f>Inputs!$B$5*Capital!L28*(1/(1+Inputs!$B$6))</f>
        <v>126220.03747363715</v>
      </c>
      <c r="H28" s="9">
        <f t="shared" si="0"/>
        <v>103680.95971656207</v>
      </c>
      <c r="I28" s="14">
        <f t="shared" si="1"/>
        <v>0</v>
      </c>
      <c r="J28" s="9">
        <f>Inputs!$B$5*Capital!X28*(1/(1+Inputs!$B$6))+(1/(1+Inputs!$B$6))*J29</f>
        <v>0</v>
      </c>
      <c r="K28" s="9">
        <f>Inputs!$B$5*Capital!Y28*(1/(1+Inputs!$B$6))+(1/(1+Inputs!$B$6))*K29</f>
        <v>877522.62937613926</v>
      </c>
    </row>
    <row r="29" spans="1:11" x14ac:dyDescent="0.3">
      <c r="A29" s="6">
        <v>23</v>
      </c>
      <c r="B29" s="9">
        <f>Inputs!$B$5*Capital!L29*(1/(1+Inputs!$B$6))+(1/(1+Inputs!$B$6))*B30</f>
        <v>773841.66965957708</v>
      </c>
      <c r="C29" s="9">
        <f>Inputs!$B$5*Capital!U29*(1/(1+Inputs!$B$6))+(1/(1+Inputs!$B$6))*C30</f>
        <v>0</v>
      </c>
      <c r="D29" s="9">
        <f>Inputs!$B$5*Capital!V29*(1/(1+Inputs!$B$6))+(1/(1+Inputs!$B$6))*D30</f>
        <v>773841.66965957708</v>
      </c>
      <c r="E29" s="9">
        <f>Inputs!$B$5*Capital!M29*(1/(1+Inputs!$B$6))+(1/(1+Inputs!$B$6))*E30</f>
        <v>0</v>
      </c>
      <c r="F29" s="9">
        <f>Inputs!$B$5*Capital!N29*(1/(1+Inputs!$B$6))+(1/(1+Inputs!$B$6))*F30</f>
        <v>773841.66965957708</v>
      </c>
      <c r="G29" s="9">
        <f>Inputs!$B$5*Capital!L29*(1/(1+Inputs!$B$6))</f>
        <v>117672.30299575673</v>
      </c>
      <c r="H29" s="9">
        <f t="shared" si="0"/>
        <v>97987.221995842177</v>
      </c>
      <c r="I29" s="14">
        <f t="shared" si="1"/>
        <v>0</v>
      </c>
      <c r="J29" s="9">
        <f>Inputs!$B$5*Capital!X29*(1/(1+Inputs!$B$6))+(1/(1+Inputs!$B$6))*J30</f>
        <v>0</v>
      </c>
      <c r="K29" s="9">
        <f>Inputs!$B$5*Capital!Y29*(1/(1+Inputs!$B$6))+(1/(1+Inputs!$B$6))*K30</f>
        <v>773841.66965957719</v>
      </c>
    </row>
    <row r="30" spans="1:11" x14ac:dyDescent="0.3">
      <c r="A30" s="6">
        <v>24</v>
      </c>
      <c r="B30" s="9">
        <f>Inputs!$B$5*Capital!L30*(1/(1+Inputs!$B$6))+(1/(1+Inputs!$B$6))*B31</f>
        <v>675854.4476637349</v>
      </c>
      <c r="C30" s="9">
        <f>Inputs!$B$5*Capital!U30*(1/(1+Inputs!$B$6))+(1/(1+Inputs!$B$6))*C31</f>
        <v>0</v>
      </c>
      <c r="D30" s="9">
        <f>Inputs!$B$5*Capital!V30*(1/(1+Inputs!$B$6))+(1/(1+Inputs!$B$6))*D31</f>
        <v>675854.4476637349</v>
      </c>
      <c r="E30" s="9">
        <f>Inputs!$B$5*Capital!M30*(1/(1+Inputs!$B$6))+(1/(1+Inputs!$B$6))*E31</f>
        <v>0</v>
      </c>
      <c r="F30" s="9">
        <f>Inputs!$B$5*Capital!N30*(1/(1+Inputs!$B$6))+(1/(1+Inputs!$B$6))*F31</f>
        <v>675854.4476637349</v>
      </c>
      <c r="G30" s="9">
        <f>Inputs!$B$5*Capital!L30*(1/(1+Inputs!$B$6))</f>
        <v>108759.30411146248</v>
      </c>
      <c r="H30" s="9">
        <f t="shared" si="0"/>
        <v>91746.449804894277</v>
      </c>
      <c r="I30" s="14">
        <f t="shared" si="1"/>
        <v>0</v>
      </c>
      <c r="J30" s="9">
        <f>Inputs!$B$5*Capital!X30*(1/(1+Inputs!$B$6))+(1/(1+Inputs!$B$6))*J31</f>
        <v>0</v>
      </c>
      <c r="K30" s="9">
        <f>Inputs!$B$5*Capital!Y30*(1/(1+Inputs!$B$6))+(1/(1+Inputs!$B$6))*K31</f>
        <v>675854.44766373502</v>
      </c>
    </row>
    <row r="31" spans="1:11" x14ac:dyDescent="0.3">
      <c r="A31" s="6">
        <v>25</v>
      </c>
      <c r="B31" s="9">
        <f>Inputs!$B$5*Capital!L31*(1/(1+Inputs!$B$6))+(1/(1+Inputs!$B$6))*B32</f>
        <v>584107.99785884062</v>
      </c>
      <c r="C31" s="9">
        <f>Inputs!$B$5*Capital!U31*(1/(1+Inputs!$B$6))+(1/(1+Inputs!$B$6))*C32</f>
        <v>0</v>
      </c>
      <c r="D31" s="9">
        <f>Inputs!$B$5*Capital!V31*(1/(1+Inputs!$B$6))+(1/(1+Inputs!$B$6))*D32</f>
        <v>584107.99785884062</v>
      </c>
      <c r="E31" s="9">
        <f>Inputs!$B$5*Capital!M31*(1/(1+Inputs!$B$6))+(1/(1+Inputs!$B$6))*E32</f>
        <v>0</v>
      </c>
      <c r="F31" s="9">
        <f>Inputs!$B$5*Capital!N31*(1/(1+Inputs!$B$6))+(1/(1+Inputs!$B$6))*F32</f>
        <v>584107.99785884062</v>
      </c>
      <c r="G31" s="9">
        <f>Inputs!$B$5*Capital!L31*(1/(1+Inputs!$B$6))</f>
        <v>99573.694802205995</v>
      </c>
      <c r="H31" s="9">
        <f t="shared" si="0"/>
        <v>85037.665710506903</v>
      </c>
      <c r="I31" s="14">
        <f t="shared" si="1"/>
        <v>0</v>
      </c>
      <c r="J31" s="9">
        <f>Inputs!$B$5*Capital!X31*(1/(1+Inputs!$B$6))+(1/(1+Inputs!$B$6))*J32</f>
        <v>0</v>
      </c>
      <c r="K31" s="9">
        <f>Inputs!$B$5*Capital!Y31*(1/(1+Inputs!$B$6))+(1/(1+Inputs!$B$6))*K32</f>
        <v>584107.99785884074</v>
      </c>
    </row>
    <row r="32" spans="1:11" x14ac:dyDescent="0.3">
      <c r="A32" s="6">
        <v>26</v>
      </c>
      <c r="B32" s="9">
        <f>Inputs!$B$5*Capital!L32*(1/(1+Inputs!$B$6))+(1/(1+Inputs!$B$6))*B33</f>
        <v>499070.33214833372</v>
      </c>
      <c r="C32" s="9">
        <f>Inputs!$B$5*Capital!U32*(1/(1+Inputs!$B$6))+(1/(1+Inputs!$B$6))*C33</f>
        <v>0</v>
      </c>
      <c r="D32" s="9">
        <f>Inputs!$B$5*Capital!V32*(1/(1+Inputs!$B$6))+(1/(1+Inputs!$B$6))*D33</f>
        <v>499070.33214833372</v>
      </c>
      <c r="E32" s="9">
        <f>Inputs!$B$5*Capital!M32*(1/(1+Inputs!$B$6))+(1/(1+Inputs!$B$6))*E33</f>
        <v>0</v>
      </c>
      <c r="F32" s="9">
        <f>Inputs!$B$5*Capital!N32*(1/(1+Inputs!$B$6))+(1/(1+Inputs!$B$6))*F33</f>
        <v>499070.33214833372</v>
      </c>
      <c r="G32" s="9">
        <f>Inputs!$B$5*Capital!L32*(1/(1+Inputs!$B$6))</f>
        <v>90221.236440423367</v>
      </c>
      <c r="H32" s="9">
        <f t="shared" si="0"/>
        <v>77955.763569186034</v>
      </c>
      <c r="I32" s="14">
        <f t="shared" si="1"/>
        <v>0</v>
      </c>
      <c r="J32" s="9">
        <f>Inputs!$B$5*Capital!X32*(1/(1+Inputs!$B$6))+(1/(1+Inputs!$B$6))*J33</f>
        <v>0</v>
      </c>
      <c r="K32" s="9">
        <f>Inputs!$B$5*Capital!Y32*(1/(1+Inputs!$B$6))+(1/(1+Inputs!$B$6))*K33</f>
        <v>499070.33214833378</v>
      </c>
    </row>
    <row r="33" spans="1:11" x14ac:dyDescent="0.3">
      <c r="A33" s="6">
        <v>27</v>
      </c>
      <c r="B33" s="9">
        <f>Inputs!$B$5*Capital!L33*(1/(1+Inputs!$B$6))+(1/(1+Inputs!$B$6))*B34</f>
        <v>421114.56857914769</v>
      </c>
      <c r="C33" s="9">
        <f>Inputs!$B$5*Capital!U33*(1/(1+Inputs!$B$6))+(1/(1+Inputs!$B$6))*C34</f>
        <v>0</v>
      </c>
      <c r="D33" s="9">
        <f>Inputs!$B$5*Capital!V33*(1/(1+Inputs!$B$6))+(1/(1+Inputs!$B$6))*D34</f>
        <v>421114.56857914769</v>
      </c>
      <c r="E33" s="9">
        <f>Inputs!$B$5*Capital!M33*(1/(1+Inputs!$B$6))+(1/(1+Inputs!$B$6))*E34</f>
        <v>0</v>
      </c>
      <c r="F33" s="9">
        <f>Inputs!$B$5*Capital!N33*(1/(1+Inputs!$B$6))+(1/(1+Inputs!$B$6))*F34</f>
        <v>421114.56857914769</v>
      </c>
      <c r="G33" s="9">
        <f>Inputs!$B$5*Capital!L33*(1/(1+Inputs!$B$6))</f>
        <v>80818.99233699638</v>
      </c>
      <c r="H33" s="9">
        <f t="shared" si="0"/>
        <v>70610.125049731811</v>
      </c>
      <c r="I33" s="14">
        <f t="shared" si="1"/>
        <v>0</v>
      </c>
      <c r="J33" s="9">
        <f>Inputs!$B$5*Capital!X33*(1/(1+Inputs!$B$6))+(1/(1+Inputs!$B$6))*J34</f>
        <v>0</v>
      </c>
      <c r="K33" s="9">
        <f>Inputs!$B$5*Capital!Y33*(1/(1+Inputs!$B$6))+(1/(1+Inputs!$B$6))*K34</f>
        <v>421114.56857914769</v>
      </c>
    </row>
    <row r="34" spans="1:11" x14ac:dyDescent="0.3">
      <c r="A34" s="6">
        <v>28</v>
      </c>
      <c r="B34" s="9">
        <f>Inputs!$B$5*Capital!L34*(1/(1+Inputs!$B$6))+(1/(1+Inputs!$B$6))*B35</f>
        <v>350504.44352941588</v>
      </c>
      <c r="C34" s="9">
        <f>Inputs!$B$5*Capital!U34*(1/(1+Inputs!$B$6))+(1/(1+Inputs!$B$6))*C35</f>
        <v>0</v>
      </c>
      <c r="D34" s="9">
        <f>Inputs!$B$5*Capital!V34*(1/(1+Inputs!$B$6))+(1/(1+Inputs!$B$6))*D35</f>
        <v>350504.44352941588</v>
      </c>
      <c r="E34" s="9">
        <f>Inputs!$B$5*Capital!M34*(1/(1+Inputs!$B$6))+(1/(1+Inputs!$B$6))*E35</f>
        <v>0</v>
      </c>
      <c r="F34" s="9">
        <f>Inputs!$B$5*Capital!N34*(1/(1+Inputs!$B$6))+(1/(1+Inputs!$B$6))*F35</f>
        <v>350504.44352941588</v>
      </c>
      <c r="G34" s="9">
        <f>Inputs!$B$5*Capital!L34*(1/(1+Inputs!$B$6))</f>
        <v>71492.628060314935</v>
      </c>
      <c r="H34" s="9">
        <f t="shared" si="0"/>
        <v>63122.273596241896</v>
      </c>
      <c r="I34" s="14">
        <f t="shared" si="1"/>
        <v>0</v>
      </c>
      <c r="J34" s="9">
        <f>Inputs!$B$5*Capital!X34*(1/(1+Inputs!$B$6))+(1/(1+Inputs!$B$6))*J35</f>
        <v>0</v>
      </c>
      <c r="K34" s="9">
        <f>Inputs!$B$5*Capital!Y34*(1/(1+Inputs!$B$6))+(1/(1+Inputs!$B$6))*K35</f>
        <v>350504.44352941588</v>
      </c>
    </row>
    <row r="35" spans="1:11" x14ac:dyDescent="0.3">
      <c r="A35" s="6">
        <v>29</v>
      </c>
      <c r="B35" s="9">
        <f>Inputs!$B$5*Capital!L35*(1/(1+Inputs!$B$6))+(1/(1+Inputs!$B$6))*B36</f>
        <v>287382.16993317398</v>
      </c>
      <c r="C35" s="9">
        <f>Inputs!$B$5*Capital!U35*(1/(1+Inputs!$B$6))+(1/(1+Inputs!$B$6))*C36</f>
        <v>0</v>
      </c>
      <c r="D35" s="9">
        <f>Inputs!$B$5*Capital!V35*(1/(1+Inputs!$B$6))+(1/(1+Inputs!$B$6))*D36</f>
        <v>287382.16993317398</v>
      </c>
      <c r="E35" s="9">
        <f>Inputs!$B$5*Capital!M35*(1/(1+Inputs!$B$6))+(1/(1+Inputs!$B$6))*E36</f>
        <v>0</v>
      </c>
      <c r="F35" s="9">
        <f>Inputs!$B$5*Capital!N35*(1/(1+Inputs!$B$6))+(1/(1+Inputs!$B$6))*F36</f>
        <v>287382.16993317398</v>
      </c>
      <c r="G35" s="9">
        <f>Inputs!$B$5*Capital!L35*(1/(1+Inputs!$B$6))</f>
        <v>62372.780199134933</v>
      </c>
      <c r="H35" s="9">
        <f t="shared" si="0"/>
        <v>55622.498507113749</v>
      </c>
      <c r="I35" s="14">
        <f t="shared" si="1"/>
        <v>0</v>
      </c>
      <c r="J35" s="9">
        <f>Inputs!$B$5*Capital!X35*(1/(1+Inputs!$B$6))+(1/(1+Inputs!$B$6))*J36</f>
        <v>0</v>
      </c>
      <c r="K35" s="9">
        <f>Inputs!$B$5*Capital!Y35*(1/(1+Inputs!$B$6))+(1/(1+Inputs!$B$6))*K36</f>
        <v>287382.16993317398</v>
      </c>
    </row>
    <row r="36" spans="1:11" x14ac:dyDescent="0.3">
      <c r="A36" s="6">
        <v>30</v>
      </c>
      <c r="B36" s="9">
        <f>Inputs!$B$5*Capital!L36*(1/(1+Inputs!$B$6))+(1/(1+Inputs!$B$6))*B37</f>
        <v>231759.67142606023</v>
      </c>
      <c r="C36" s="9">
        <f>Inputs!$B$5*Capital!U36*(1/(1+Inputs!$B$6))+(1/(1+Inputs!$B$6))*C37</f>
        <v>0</v>
      </c>
      <c r="D36" s="9">
        <f>Inputs!$B$5*Capital!V36*(1/(1+Inputs!$B$6))+(1/(1+Inputs!$B$6))*D37</f>
        <v>231759.67142606023</v>
      </c>
      <c r="E36" s="9">
        <f>Inputs!$B$5*Capital!M36*(1/(1+Inputs!$B$6))+(1/(1+Inputs!$B$6))*E37</f>
        <v>0</v>
      </c>
      <c r="F36" s="9">
        <f>Inputs!$B$5*Capital!N36*(1/(1+Inputs!$B$6))+(1/(1+Inputs!$B$6))*F37</f>
        <v>231759.67142606023</v>
      </c>
      <c r="G36" s="9">
        <f>Inputs!$B$5*Capital!L36*(1/(1+Inputs!$B$6))</f>
        <v>53590.529864885815</v>
      </c>
      <c r="H36" s="9">
        <f t="shared" si="0"/>
        <v>48245.45561805059</v>
      </c>
      <c r="I36" s="14">
        <f t="shared" si="1"/>
        <v>0</v>
      </c>
      <c r="J36" s="9">
        <f>Inputs!$B$5*Capital!X36*(1/(1+Inputs!$B$6))+(1/(1+Inputs!$B$6))*J37</f>
        <v>0</v>
      </c>
      <c r="K36" s="9">
        <f>Inputs!$B$5*Capital!Y36*(1/(1+Inputs!$B$6))+(1/(1+Inputs!$B$6))*K37</f>
        <v>231759.6714260602</v>
      </c>
    </row>
    <row r="37" spans="1:11" x14ac:dyDescent="0.3">
      <c r="A37" s="6">
        <v>31</v>
      </c>
      <c r="B37" s="9">
        <f>Inputs!$B$5*Capital!L37*(1/(1+Inputs!$B$6))+(1/(1+Inputs!$B$6))*B38</f>
        <v>183514.21580800964</v>
      </c>
      <c r="C37" s="9">
        <f>Inputs!$B$5*Capital!U37*(1/(1+Inputs!$B$6))+(1/(1+Inputs!$B$6))*C38</f>
        <v>0</v>
      </c>
      <c r="D37" s="9">
        <f>Inputs!$B$5*Capital!V37*(1/(1+Inputs!$B$6))+(1/(1+Inputs!$B$6))*D38</f>
        <v>183514.21580800964</v>
      </c>
      <c r="E37" s="9">
        <f>Inputs!$B$5*Capital!M37*(1/(1+Inputs!$B$6))+(1/(1+Inputs!$B$6))*E38</f>
        <v>0</v>
      </c>
      <c r="F37" s="9">
        <f>Inputs!$B$5*Capital!N37*(1/(1+Inputs!$B$6))+(1/(1+Inputs!$B$6))*F38</f>
        <v>183514.21580800964</v>
      </c>
      <c r="G37" s="9">
        <f>Inputs!$B$5*Capital!L37*(1/(1+Inputs!$B$6))</f>
        <v>45272.114233603083</v>
      </c>
      <c r="H37" s="9">
        <f t="shared" si="0"/>
        <v>41124.851186370885</v>
      </c>
      <c r="I37" s="14">
        <f t="shared" si="1"/>
        <v>0</v>
      </c>
      <c r="J37" s="9">
        <f>Inputs!$B$5*Capital!X37*(1/(1+Inputs!$B$6))+(1/(1+Inputs!$B$6))*J38</f>
        <v>0</v>
      </c>
      <c r="K37" s="9">
        <f>Inputs!$B$5*Capital!Y37*(1/(1+Inputs!$B$6))+(1/(1+Inputs!$B$6))*K38</f>
        <v>183514.21580800961</v>
      </c>
    </row>
    <row r="38" spans="1:11" x14ac:dyDescent="0.3">
      <c r="A38" s="6">
        <v>32</v>
      </c>
      <c r="B38" s="9">
        <f>Inputs!$B$5*Capital!L38*(1/(1+Inputs!$B$6))+(1/(1+Inputs!$B$6))*B39</f>
        <v>142389.36462163876</v>
      </c>
      <c r="C38" s="9">
        <f>Inputs!$B$5*Capital!U38*(1/(1+Inputs!$B$6))+(1/(1+Inputs!$B$6))*C39</f>
        <v>0</v>
      </c>
      <c r="D38" s="9">
        <f>Inputs!$B$5*Capital!V38*(1/(1+Inputs!$B$6))+(1/(1+Inputs!$B$6))*D39</f>
        <v>142389.36462163876</v>
      </c>
      <c r="E38" s="9">
        <f>Inputs!$B$5*Capital!M38*(1/(1+Inputs!$B$6))+(1/(1+Inputs!$B$6))*E39</f>
        <v>0</v>
      </c>
      <c r="F38" s="9">
        <f>Inputs!$B$5*Capital!N38*(1/(1+Inputs!$B$6))+(1/(1+Inputs!$B$6))*F39</f>
        <v>142389.36462163876</v>
      </c>
      <c r="G38" s="9">
        <f>Inputs!$B$5*Capital!L38*(1/(1+Inputs!$B$6))</f>
        <v>37533.12547550827</v>
      </c>
      <c r="H38" s="9">
        <f t="shared" si="0"/>
        <v>34387.438301124348</v>
      </c>
      <c r="I38" s="14">
        <f t="shared" si="1"/>
        <v>0</v>
      </c>
      <c r="J38" s="9">
        <f>Inputs!$B$5*Capital!X38*(1/(1+Inputs!$B$6))+(1/(1+Inputs!$B$6))*J39</f>
        <v>0</v>
      </c>
      <c r="K38" s="9">
        <f>Inputs!$B$5*Capital!Y38*(1/(1+Inputs!$B$6))+(1/(1+Inputs!$B$6))*K39</f>
        <v>142389.36462163876</v>
      </c>
    </row>
    <row r="39" spans="1:11" x14ac:dyDescent="0.3">
      <c r="A39" s="6">
        <v>33</v>
      </c>
      <c r="B39" s="9">
        <f>Inputs!$B$5*Capital!L39*(1/(1+Inputs!$B$6))+(1/(1+Inputs!$B$6))*B40</f>
        <v>108001.92632051441</v>
      </c>
      <c r="C39" s="9">
        <f>Inputs!$B$5*Capital!U39*(1/(1+Inputs!$B$6))+(1/(1+Inputs!$B$6))*C40</f>
        <v>0</v>
      </c>
      <c r="D39" s="9">
        <f>Inputs!$B$5*Capital!V39*(1/(1+Inputs!$B$6))+(1/(1+Inputs!$B$6))*D40</f>
        <v>108001.92632051441</v>
      </c>
      <c r="E39" s="9">
        <f>Inputs!$B$5*Capital!M39*(1/(1+Inputs!$B$6))+(1/(1+Inputs!$B$6))*E40</f>
        <v>0</v>
      </c>
      <c r="F39" s="9">
        <f>Inputs!$B$5*Capital!N39*(1/(1+Inputs!$B$6))+(1/(1+Inputs!$B$6))*F40</f>
        <v>108001.92632051441</v>
      </c>
      <c r="G39" s="9">
        <f>Inputs!$B$5*Capital!L39*(1/(1+Inputs!$B$6))</f>
        <v>30472.571303309993</v>
      </c>
      <c r="H39" s="9">
        <f t="shared" si="0"/>
        <v>28146.690652793855</v>
      </c>
      <c r="I39" s="14">
        <f t="shared" si="1"/>
        <v>0</v>
      </c>
      <c r="J39" s="9">
        <f>Inputs!$B$5*Capital!X39*(1/(1+Inputs!$B$6))+(1/(1+Inputs!$B$6))*J40</f>
        <v>0</v>
      </c>
      <c r="K39" s="9">
        <f>Inputs!$B$5*Capital!Y39*(1/(1+Inputs!$B$6))+(1/(1+Inputs!$B$6))*K40</f>
        <v>108001.92632051441</v>
      </c>
    </row>
    <row r="40" spans="1:11" x14ac:dyDescent="0.3">
      <c r="A40" s="6">
        <v>34</v>
      </c>
      <c r="B40" s="9">
        <f>Inputs!$B$5*Capital!L40*(1/(1+Inputs!$B$6))+(1/(1+Inputs!$B$6))*B41</f>
        <v>79855.235667720553</v>
      </c>
      <c r="C40" s="9">
        <f>Inputs!$B$5*Capital!U40*(1/(1+Inputs!$B$6))+(1/(1+Inputs!$B$6))*C41</f>
        <v>0</v>
      </c>
      <c r="D40" s="9">
        <f>Inputs!$B$5*Capital!V40*(1/(1+Inputs!$B$6))+(1/(1+Inputs!$B$6))*D41</f>
        <v>79855.235667720553</v>
      </c>
      <c r="E40" s="9">
        <f>Inputs!$B$5*Capital!M40*(1/(1+Inputs!$B$6))+(1/(1+Inputs!$B$6))*E41</f>
        <v>0</v>
      </c>
      <c r="F40" s="9">
        <f>Inputs!$B$5*Capital!N40*(1/(1+Inputs!$B$6))+(1/(1+Inputs!$B$6))*F41</f>
        <v>79855.235667720553</v>
      </c>
      <c r="G40" s="9">
        <f>Inputs!$B$5*Capital!L40*(1/(1+Inputs!$B$6))</f>
        <v>24167.287925026245</v>
      </c>
      <c r="H40" s="9">
        <f t="shared" si="0"/>
        <v>22496.649492745419</v>
      </c>
      <c r="I40" s="14">
        <f t="shared" si="1"/>
        <v>0</v>
      </c>
      <c r="J40" s="9">
        <f>Inputs!$B$5*Capital!X40*(1/(1+Inputs!$B$6))+(1/(1+Inputs!$B$6))*J41</f>
        <v>0</v>
      </c>
      <c r="K40" s="9">
        <f>Inputs!$B$5*Capital!Y40*(1/(1+Inputs!$B$6))+(1/(1+Inputs!$B$6))*K41</f>
        <v>79855.235667720553</v>
      </c>
    </row>
    <row r="41" spans="1:11" x14ac:dyDescent="0.3">
      <c r="A41" s="6">
        <v>35</v>
      </c>
      <c r="B41" s="9">
        <f>Inputs!$B$5*Capital!L41*(1/(1+Inputs!$B$6))+(1/(1+Inputs!$B$6))*B42</f>
        <v>57358.586174975135</v>
      </c>
      <c r="C41" s="9">
        <f>Inputs!$B$5*Capital!U41*(1/(1+Inputs!$B$6))+(1/(1+Inputs!$B$6))*C42</f>
        <v>0</v>
      </c>
      <c r="D41" s="9">
        <f>Inputs!$B$5*Capital!V41*(1/(1+Inputs!$B$6))+(1/(1+Inputs!$B$6))*D42</f>
        <v>57358.586174975135</v>
      </c>
      <c r="E41" s="9">
        <f>Inputs!$B$5*Capital!M41*(1/(1+Inputs!$B$6))+(1/(1+Inputs!$B$6))*E42</f>
        <v>0</v>
      </c>
      <c r="F41" s="9">
        <f>Inputs!$B$5*Capital!N41*(1/(1+Inputs!$B$6))+(1/(1+Inputs!$B$6))*F42</f>
        <v>57358.586174975135</v>
      </c>
      <c r="G41" s="9">
        <f>Inputs!$B$5*Capital!L41*(1/(1+Inputs!$B$6))</f>
        <v>18667.280463081926</v>
      </c>
      <c r="H41" s="9">
        <f t="shared" si="0"/>
        <v>17506.541291725138</v>
      </c>
      <c r="I41" s="14">
        <f t="shared" si="1"/>
        <v>0</v>
      </c>
      <c r="J41" s="9">
        <f>Inputs!$B$5*Capital!X41*(1/(1+Inputs!$B$6))+(1/(1+Inputs!$B$6))*J42</f>
        <v>0</v>
      </c>
      <c r="K41" s="9">
        <f>Inputs!$B$5*Capital!Y41*(1/(1+Inputs!$B$6))+(1/(1+Inputs!$B$6))*K42</f>
        <v>57358.586174975135</v>
      </c>
    </row>
    <row r="42" spans="1:11" x14ac:dyDescent="0.3">
      <c r="A42" s="6">
        <v>36</v>
      </c>
      <c r="B42" s="9">
        <f>Inputs!$B$5*Capital!L42*(1/(1+Inputs!$B$6))+(1/(1+Inputs!$B$6))*B43</f>
        <v>39852.044883249997</v>
      </c>
      <c r="C42" s="9">
        <f>Inputs!$B$5*Capital!U42*(1/(1+Inputs!$B$6))+(1/(1+Inputs!$B$6))*C43</f>
        <v>0</v>
      </c>
      <c r="D42" s="9">
        <f>Inputs!$B$5*Capital!V42*(1/(1+Inputs!$B$6))+(1/(1+Inputs!$B$6))*D43</f>
        <v>39852.044883250004</v>
      </c>
      <c r="E42" s="9">
        <f>Inputs!$B$5*Capital!M42*(1/(1+Inputs!$B$6))+(1/(1+Inputs!$B$6))*E43</f>
        <v>0</v>
      </c>
      <c r="F42" s="9">
        <f>Inputs!$B$5*Capital!N42*(1/(1+Inputs!$B$6))+(1/(1+Inputs!$B$6))*F43</f>
        <v>39852.044883249997</v>
      </c>
      <c r="G42" s="9">
        <f>Inputs!$B$5*Capital!L42*(1/(1+Inputs!$B$6))</f>
        <v>13992.589464470217</v>
      </c>
      <c r="H42" s="9">
        <f t="shared" si="0"/>
        <v>13216.805801906819</v>
      </c>
      <c r="I42" s="14">
        <f t="shared" si="1"/>
        <v>0</v>
      </c>
      <c r="J42" s="9">
        <f>Inputs!$B$5*Capital!X42*(1/(1+Inputs!$B$6))+(1/(1+Inputs!$B$6))*J43</f>
        <v>0</v>
      </c>
      <c r="K42" s="9">
        <f>Inputs!$B$5*Capital!Y42*(1/(1+Inputs!$B$6))+(1/(1+Inputs!$B$6))*K43</f>
        <v>39852.044883249997</v>
      </c>
    </row>
    <row r="43" spans="1:11" x14ac:dyDescent="0.3">
      <c r="A43" s="6">
        <v>37</v>
      </c>
      <c r="B43" s="9">
        <f>Inputs!$B$5*Capital!L43*(1/(1+Inputs!$B$6))+(1/(1+Inputs!$B$6))*B44</f>
        <v>26635.239081343178</v>
      </c>
      <c r="C43" s="9">
        <f>Inputs!$B$5*Capital!U43*(1/(1+Inputs!$B$6))+(1/(1+Inputs!$B$6))*C44</f>
        <v>0</v>
      </c>
      <c r="D43" s="9">
        <f>Inputs!$B$5*Capital!V43*(1/(1+Inputs!$B$6))+(1/(1+Inputs!$B$6))*D44</f>
        <v>26635.239081343178</v>
      </c>
      <c r="E43" s="9">
        <f>Inputs!$B$5*Capital!M43*(1/(1+Inputs!$B$6))+(1/(1+Inputs!$B$6))*E44</f>
        <v>0</v>
      </c>
      <c r="F43" s="9">
        <f>Inputs!$B$5*Capital!N43*(1/(1+Inputs!$B$6))+(1/(1+Inputs!$B$6))*F44</f>
        <v>26635.239081343178</v>
      </c>
      <c r="G43" s="9">
        <f>Inputs!$B$5*Capital!L43*(1/(1+Inputs!$B$6))</f>
        <v>10132.217245069609</v>
      </c>
      <c r="H43" s="9">
        <f t="shared" si="0"/>
        <v>9637.1265899814025</v>
      </c>
      <c r="I43" s="14">
        <f t="shared" si="1"/>
        <v>0</v>
      </c>
      <c r="J43" s="9">
        <f>Inputs!$B$5*Capital!X43*(1/(1+Inputs!$B$6))+(1/(1+Inputs!$B$6))*J44</f>
        <v>0</v>
      </c>
      <c r="K43" s="9">
        <f>Inputs!$B$5*Capital!Y43*(1/(1+Inputs!$B$6))+(1/(1+Inputs!$B$6))*K44</f>
        <v>26635.239081343178</v>
      </c>
    </row>
    <row r="44" spans="1:11" x14ac:dyDescent="0.3">
      <c r="A44" s="6">
        <v>38</v>
      </c>
      <c r="B44" s="9">
        <f>Inputs!$B$5*Capital!L44*(1/(1+Inputs!$B$6))+(1/(1+Inputs!$B$6))*B45</f>
        <v>16998.112491361775</v>
      </c>
      <c r="C44" s="9">
        <f>Inputs!$B$5*Capital!U44*(1/(1+Inputs!$B$6))+(1/(1+Inputs!$B$6))*C45</f>
        <v>0</v>
      </c>
      <c r="D44" s="9">
        <f>Inputs!$B$5*Capital!V44*(1/(1+Inputs!$B$6))+(1/(1+Inputs!$B$6))*D45</f>
        <v>16998.112491361775</v>
      </c>
      <c r="E44" s="9">
        <f>Inputs!$B$5*Capital!M44*(1/(1+Inputs!$B$6))+(1/(1+Inputs!$B$6))*E45</f>
        <v>0</v>
      </c>
      <c r="F44" s="9">
        <f>Inputs!$B$5*Capital!N44*(1/(1+Inputs!$B$6))+(1/(1+Inputs!$B$6))*F45</f>
        <v>16998.112491361775</v>
      </c>
      <c r="G44" s="9">
        <f>Inputs!$B$5*Capital!L44*(1/(1+Inputs!$B$6))</f>
        <v>7045.4756606163191</v>
      </c>
      <c r="H44" s="9">
        <f t="shared" si="0"/>
        <v>6746.8965556939565</v>
      </c>
      <c r="I44" s="14">
        <f t="shared" si="1"/>
        <v>0</v>
      </c>
      <c r="J44" s="9">
        <f>Inputs!$B$5*Capital!X44*(1/(1+Inputs!$B$6))+(1/(1+Inputs!$B$6))*J45</f>
        <v>0</v>
      </c>
      <c r="K44" s="9">
        <f>Inputs!$B$5*Capital!Y44*(1/(1+Inputs!$B$6))+(1/(1+Inputs!$B$6))*K45</f>
        <v>16998.112491361775</v>
      </c>
    </row>
    <row r="45" spans="1:11" x14ac:dyDescent="0.3">
      <c r="A45" s="6">
        <v>39</v>
      </c>
      <c r="B45" s="9">
        <f>Inputs!$B$5*Capital!L45*(1/(1+Inputs!$B$6))+(1/(1+Inputs!$B$6))*B46</f>
        <v>10251.215935667818</v>
      </c>
      <c r="C45" s="9">
        <f>Inputs!$B$5*Capital!U45*(1/(1+Inputs!$B$6))+(1/(1+Inputs!$B$6))*C46</f>
        <v>0</v>
      </c>
      <c r="D45" s="9">
        <f>Inputs!$B$5*Capital!V45*(1/(1+Inputs!$B$6))+(1/(1+Inputs!$B$6))*D46</f>
        <v>10251.21593566782</v>
      </c>
      <c r="E45" s="9">
        <f>Inputs!$B$5*Capital!M45*(1/(1+Inputs!$B$6))+(1/(1+Inputs!$B$6))*E46</f>
        <v>0</v>
      </c>
      <c r="F45" s="9">
        <f>Inputs!$B$5*Capital!N45*(1/(1+Inputs!$B$6))+(1/(1+Inputs!$B$6))*F46</f>
        <v>10251.215935667818</v>
      </c>
      <c r="G45" s="9">
        <f>Inputs!$B$5*Capital!L45*(1/(1+Inputs!$B$6))</f>
        <v>4665.8376950009497</v>
      </c>
      <c r="H45" s="9">
        <f t="shared" si="0"/>
        <v>4498.276347780944</v>
      </c>
      <c r="I45" s="14">
        <f t="shared" si="1"/>
        <v>0</v>
      </c>
      <c r="J45" s="9">
        <f>Inputs!$B$5*Capital!X45*(1/(1+Inputs!$B$6))+(1/(1+Inputs!$B$6))*J46</f>
        <v>0</v>
      </c>
      <c r="K45" s="9">
        <f>Inputs!$B$5*Capital!Y45*(1/(1+Inputs!$B$6))+(1/(1+Inputs!$B$6))*K46</f>
        <v>10251.215935667818</v>
      </c>
    </row>
    <row r="46" spans="1:11" x14ac:dyDescent="0.3">
      <c r="A46" s="6">
        <v>40</v>
      </c>
      <c r="B46" s="9">
        <f>Inputs!$B$5*Capital!L46*(1/(1+Inputs!$B$6))+(1/(1+Inputs!$B$6))*B47</f>
        <v>5752.9395878868745</v>
      </c>
      <c r="C46" s="9">
        <f>Inputs!$B$5*Capital!U46*(1/(1+Inputs!$B$6))+(1/(1+Inputs!$B$6))*C47</f>
        <v>0</v>
      </c>
      <c r="D46" s="9">
        <f>Inputs!$B$5*Capital!V46*(1/(1+Inputs!$B$6))+(1/(1+Inputs!$B$6))*D47</f>
        <v>5752.9395878868754</v>
      </c>
      <c r="E46" s="9">
        <f>Inputs!$B$5*Capital!M46*(1/(1+Inputs!$B$6))+(1/(1+Inputs!$B$6))*E47</f>
        <v>0</v>
      </c>
      <c r="F46" s="9">
        <f>Inputs!$B$5*Capital!N46*(1/(1+Inputs!$B$6))+(1/(1+Inputs!$B$6))*F47</f>
        <v>5752.9395878868745</v>
      </c>
      <c r="G46" s="9">
        <f>Inputs!$B$5*Capital!L46*(1/(1+Inputs!$B$6))</f>
        <v>2907.0175021386754</v>
      </c>
      <c r="H46" s="9">
        <f t="shared" si="0"/>
        <v>2821.6398395662295</v>
      </c>
      <c r="I46" s="14">
        <f t="shared" si="1"/>
        <v>0</v>
      </c>
      <c r="J46" s="9">
        <f>Inputs!$B$5*Capital!X46*(1/(1+Inputs!$B$6))+(1/(1+Inputs!$B$6))*J47</f>
        <v>0</v>
      </c>
      <c r="K46" s="9">
        <f>Inputs!$B$5*Capital!Y46*(1/(1+Inputs!$B$6))+(1/(1+Inputs!$B$6))*K47</f>
        <v>5752.9395878868745</v>
      </c>
    </row>
    <row r="47" spans="1:11" x14ac:dyDescent="0.3">
      <c r="A47" s="6">
        <v>41</v>
      </c>
      <c r="B47" s="9">
        <f>Inputs!$B$5*Capital!L47*(1/(1+Inputs!$B$6))+(1/(1+Inputs!$B$6))*B48</f>
        <v>2931.299748320645</v>
      </c>
      <c r="C47" s="9">
        <f>Inputs!$B$5*Capital!U47*(1/(1+Inputs!$B$6))+(1/(1+Inputs!$B$6))*C48</f>
        <v>0</v>
      </c>
      <c r="D47" s="9">
        <f>Inputs!$B$5*Capital!V47*(1/(1+Inputs!$B$6))+(1/(1+Inputs!$B$6))*D48</f>
        <v>2931.2997483206454</v>
      </c>
      <c r="E47" s="9">
        <f>Inputs!$B$5*Capital!M47*(1/(1+Inputs!$B$6))+(1/(1+Inputs!$B$6))*E48</f>
        <v>0</v>
      </c>
      <c r="F47" s="9">
        <f>Inputs!$B$5*Capital!N47*(1/(1+Inputs!$B$6))+(1/(1+Inputs!$B$6))*F48</f>
        <v>2931.299748320645</v>
      </c>
      <c r="G47" s="9">
        <f>Inputs!$B$5*Capital!L47*(1/(1+Inputs!$B$6))</f>
        <v>1670.6278523664218</v>
      </c>
      <c r="H47" s="9">
        <f t="shared" si="0"/>
        <v>1632.8076954877952</v>
      </c>
      <c r="I47" s="14">
        <f t="shared" si="1"/>
        <v>0</v>
      </c>
      <c r="J47" s="9">
        <f>Inputs!$B$5*Capital!X47*(1/(1+Inputs!$B$6))+(1/(1+Inputs!$B$6))*J48</f>
        <v>0</v>
      </c>
      <c r="K47" s="9">
        <f>Inputs!$B$5*Capital!Y47*(1/(1+Inputs!$B$6))+(1/(1+Inputs!$B$6))*K48</f>
        <v>2931.299748320645</v>
      </c>
    </row>
    <row r="48" spans="1:11" x14ac:dyDescent="0.3">
      <c r="A48" s="6">
        <v>42</v>
      </c>
      <c r="B48" s="9">
        <f>Inputs!$B$5*Capital!L48*(1/(1+Inputs!$B$6))+(1/(1+Inputs!$B$6))*B49</f>
        <v>1298.4920528328498</v>
      </c>
      <c r="C48" s="9">
        <f>Inputs!$B$5*Capital!U48*(1/(1+Inputs!$B$6))+(1/(1+Inputs!$B$6))*C49</f>
        <v>0</v>
      </c>
      <c r="D48" s="9">
        <f>Inputs!$B$5*Capital!V48*(1/(1+Inputs!$B$6))+(1/(1+Inputs!$B$6))*D49</f>
        <v>1298.4920528328498</v>
      </c>
      <c r="E48" s="9">
        <f>Inputs!$B$5*Capital!M48*(1/(1+Inputs!$B$6))+(1/(1+Inputs!$B$6))*E49</f>
        <v>0</v>
      </c>
      <c r="F48" s="9">
        <f>Inputs!$B$5*Capital!N48*(1/(1+Inputs!$B$6))+(1/(1+Inputs!$B$6))*F49</f>
        <v>1298.4920528328498</v>
      </c>
      <c r="G48" s="9">
        <f>Inputs!$B$5*Capital!L48*(1/(1+Inputs!$B$6))</f>
        <v>854.45648278777287</v>
      </c>
      <c r="H48" s="9">
        <f t="shared" si="0"/>
        <v>841.13541568642063</v>
      </c>
      <c r="I48" s="14">
        <f t="shared" si="1"/>
        <v>0</v>
      </c>
      <c r="J48" s="9">
        <f>Inputs!$B$5*Capital!X48*(1/(1+Inputs!$B$6))+(1/(1+Inputs!$B$6))*J49</f>
        <v>0</v>
      </c>
      <c r="K48" s="9">
        <f>Inputs!$B$5*Capital!Y48*(1/(1+Inputs!$B$6))+(1/(1+Inputs!$B$6))*K49</f>
        <v>1298.4920528328498</v>
      </c>
    </row>
    <row r="49" spans="1:11" x14ac:dyDescent="0.3">
      <c r="A49" s="6">
        <v>43</v>
      </c>
      <c r="B49" s="9">
        <f>Inputs!$B$5*Capital!L49*(1/(1+Inputs!$B$6))+(1/(1+Inputs!$B$6))*B50</f>
        <v>457.35663714642914</v>
      </c>
      <c r="C49" s="9">
        <f>Inputs!$B$5*Capital!U49*(1/(1+Inputs!$B$6))+(1/(1+Inputs!$B$6))*C50</f>
        <v>0</v>
      </c>
      <c r="D49" s="9">
        <f>Inputs!$B$5*Capital!V49*(1/(1+Inputs!$B$6))+(1/(1+Inputs!$B$6))*D50</f>
        <v>457.35663714642914</v>
      </c>
      <c r="E49" s="9">
        <f>Inputs!$B$5*Capital!M49*(1/(1+Inputs!$B$6))+(1/(1+Inputs!$B$6))*E50</f>
        <v>0</v>
      </c>
      <c r="F49" s="9">
        <f>Inputs!$B$5*Capital!N49*(1/(1+Inputs!$B$6))+(1/(1+Inputs!$B$6))*F50</f>
        <v>457.35663714642914</v>
      </c>
      <c r="G49" s="9">
        <f>Inputs!$B$5*Capital!L49*(1/(1+Inputs!$B$6))</f>
        <v>360.255293261161</v>
      </c>
      <c r="H49" s="9">
        <f t="shared" si="0"/>
        <v>357.34225294460293</v>
      </c>
      <c r="I49" s="14">
        <f t="shared" si="1"/>
        <v>0</v>
      </c>
      <c r="J49" s="9">
        <f>Inputs!$B$5*Capital!X49*(1/(1+Inputs!$B$6))+(1/(1+Inputs!$B$6))*J50</f>
        <v>0</v>
      </c>
      <c r="K49" s="9">
        <f>Inputs!$B$5*Capital!Y49*(1/(1+Inputs!$B$6))+(1/(1+Inputs!$B$6))*K50</f>
        <v>457.35663714642914</v>
      </c>
    </row>
    <row r="50" spans="1:11" x14ac:dyDescent="0.3">
      <c r="A50" s="6">
        <v>44</v>
      </c>
      <c r="B50" s="9">
        <f>Inputs!$B$5*Capital!L50*(1/(1+Inputs!$B$6))+(1/(1+Inputs!$B$6))*B51</f>
        <v>100.01438420182619</v>
      </c>
      <c r="C50" s="9">
        <f>Inputs!$B$5*Capital!U50*(1/(1+Inputs!$B$6))+(1/(1+Inputs!$B$6))*C51</f>
        <v>0</v>
      </c>
      <c r="D50" s="9">
        <f>Inputs!$B$5*Capital!V50*(1/(1+Inputs!$B$6))+(1/(1+Inputs!$B$6))*D51</f>
        <v>100.01438420182619</v>
      </c>
      <c r="E50" s="9">
        <f>Inputs!$B$5*Capital!M50*(1/(1+Inputs!$B$6))+(1/(1+Inputs!$B$6))*E51</f>
        <v>0</v>
      </c>
      <c r="F50" s="9">
        <f>Inputs!$B$5*Capital!N50*(1/(1+Inputs!$B$6))+(1/(1+Inputs!$B$6))*F51</f>
        <v>100.01438420182618</v>
      </c>
      <c r="G50" s="9">
        <f>Inputs!$B$5*Capital!L50*(1/(1+Inputs!$B$6))</f>
        <v>100.01438420182619</v>
      </c>
      <c r="H50" s="9">
        <f t="shared" si="0"/>
        <v>100.01438420182619</v>
      </c>
      <c r="I50" s="14">
        <f t="shared" si="1"/>
        <v>0</v>
      </c>
      <c r="J50" s="9">
        <f>Inputs!$B$5*Capital!X50*(1/(1+Inputs!$B$6))+(1/(1+Inputs!$B$6))*J51</f>
        <v>0</v>
      </c>
      <c r="K50" s="9">
        <f>Inputs!$B$5*Capital!Y50*(1/(1+Inputs!$B$6))+(1/(1+Inputs!$B$6))*K51</f>
        <v>100.01438420182618</v>
      </c>
    </row>
    <row r="51" spans="1:11" x14ac:dyDescent="0.3">
      <c r="A51" s="6" t="s">
        <v>123</v>
      </c>
      <c r="B51" s="6">
        <v>0</v>
      </c>
      <c r="C51" s="6">
        <v>0</v>
      </c>
      <c r="D51" s="6">
        <v>0</v>
      </c>
      <c r="E51" s="6">
        <v>0</v>
      </c>
      <c r="F51" s="6">
        <v>0</v>
      </c>
      <c r="G51" s="6"/>
      <c r="H51" s="6"/>
      <c r="I51" s="6"/>
      <c r="J51" s="6">
        <v>0</v>
      </c>
      <c r="K51" s="6">
        <v>0</v>
      </c>
    </row>
  </sheetData>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58"/>
  <sheetViews>
    <sheetView topLeftCell="C1" zoomScaleNormal="100" workbookViewId="0">
      <selection activeCell="M9" sqref="M9"/>
    </sheetView>
  </sheetViews>
  <sheetFormatPr defaultColWidth="8.6640625" defaultRowHeight="14.4" x14ac:dyDescent="0.3"/>
  <cols>
    <col min="1" max="1" width="44" customWidth="1"/>
    <col min="2" max="2" width="30" customWidth="1"/>
    <col min="3" max="10" width="16" customWidth="1"/>
    <col min="11" max="11" width="13.109375" bestFit="1" customWidth="1"/>
    <col min="12" max="12" width="34.109375" bestFit="1" customWidth="1"/>
    <col min="13" max="13" width="12.77734375" bestFit="1" customWidth="1"/>
  </cols>
  <sheetData>
    <row r="1" spans="1:13" ht="17.399999999999999" x14ac:dyDescent="0.3">
      <c r="A1" s="5" t="s">
        <v>169</v>
      </c>
      <c r="B1" s="6"/>
      <c r="C1" s="6"/>
      <c r="D1" s="6"/>
      <c r="E1" s="6"/>
      <c r="F1" s="6"/>
      <c r="G1" s="6"/>
      <c r="H1" s="6"/>
      <c r="I1" s="6"/>
      <c r="J1" s="6"/>
    </row>
    <row r="2" spans="1:13" x14ac:dyDescent="0.3">
      <c r="A2" s="6" t="s">
        <v>170</v>
      </c>
      <c r="B2" s="6"/>
      <c r="C2" s="6"/>
      <c r="D2" s="6"/>
      <c r="E2" s="6"/>
      <c r="F2" s="6"/>
      <c r="G2" s="6"/>
      <c r="H2" s="6"/>
      <c r="I2" s="6"/>
      <c r="J2" s="6"/>
    </row>
    <row r="3" spans="1:13" x14ac:dyDescent="0.3">
      <c r="A3" s="6"/>
      <c r="B3" s="6"/>
      <c r="C3" s="6"/>
      <c r="D3" s="6"/>
      <c r="E3" s="6"/>
      <c r="F3" s="6"/>
      <c r="G3" s="6"/>
      <c r="H3" s="6"/>
      <c r="I3" s="6"/>
      <c r="J3" s="6"/>
    </row>
    <row r="4" spans="1:13" ht="57.75" customHeight="1" x14ac:dyDescent="0.3">
      <c r="A4" s="8" t="s">
        <v>171</v>
      </c>
      <c r="B4" s="8" t="s">
        <v>172</v>
      </c>
      <c r="C4" s="8" t="s">
        <v>173</v>
      </c>
      <c r="D4" s="8" t="s">
        <v>174</v>
      </c>
      <c r="E4" s="8" t="s">
        <v>175</v>
      </c>
      <c r="F4" s="8" t="s">
        <v>176</v>
      </c>
      <c r="G4" s="8" t="s">
        <v>177</v>
      </c>
      <c r="H4" s="8" t="s">
        <v>178</v>
      </c>
      <c r="I4" s="6"/>
      <c r="J4" s="6"/>
    </row>
    <row r="5" spans="1:13" x14ac:dyDescent="0.3">
      <c r="A5" s="6" t="s">
        <v>90</v>
      </c>
      <c r="B5" s="6" t="s">
        <v>179</v>
      </c>
      <c r="C5" s="28">
        <f>Term!X6</f>
        <v>2000000000</v>
      </c>
      <c r="D5" s="28">
        <f>Capital!Q6</f>
        <v>1749230.8280162436</v>
      </c>
      <c r="E5" s="14">
        <f>IF(C5=0,0,D5/C5)</f>
        <v>8.7461541400812187E-4</v>
      </c>
      <c r="F5" s="29">
        <f>Inputs!$B$5*E5</f>
        <v>5.2476924840487312E-5</v>
      </c>
      <c r="G5" s="9">
        <f>SUMPRODUCT(C14:C58,J14:J58)</f>
        <v>19924278457.899601</v>
      </c>
      <c r="H5" s="9">
        <f>F5*G5</f>
        <v>1045564.8631361378</v>
      </c>
      <c r="I5" s="6"/>
      <c r="J5" s="6"/>
      <c r="L5" t="str">
        <f>L13</f>
        <v>Term’s PV-summed expense exposure</v>
      </c>
      <c r="M5" s="35">
        <f>L14</f>
        <v>65254568.899789333</v>
      </c>
    </row>
    <row r="6" spans="1:13" x14ac:dyDescent="0.3">
      <c r="A6" s="6" t="s">
        <v>91</v>
      </c>
      <c r="B6" s="6" t="s">
        <v>180</v>
      </c>
      <c r="C6" s="28">
        <f>Annuity!Q6</f>
        <v>60347853.854437813</v>
      </c>
      <c r="D6" s="28">
        <f>Capital!R6</f>
        <v>1836049.0951646494</v>
      </c>
      <c r="E6" s="14">
        <f>IF(C6=0,0,D6/C6)</f>
        <v>3.0424430661499514E-2</v>
      </c>
      <c r="F6" s="29">
        <f>Inputs!$B$5*E6</f>
        <v>1.8254658396899708E-3</v>
      </c>
      <c r="G6" s="9">
        <f>SUMPRODUCT(D14:D58,J14:J58)</f>
        <v>721847119.58765113</v>
      </c>
      <c r="H6" s="9">
        <f>F6*G6</f>
        <v>1317707.2582858584</v>
      </c>
      <c r="I6" s="6"/>
      <c r="J6" s="6"/>
      <c r="L6" t="str">
        <f>K13</f>
        <v>Annuity’s PV-summed expense exposure</v>
      </c>
      <c r="M6" s="35">
        <f>K14</f>
        <v>10318150.214227842</v>
      </c>
    </row>
    <row r="7" spans="1:13" x14ac:dyDescent="0.3">
      <c r="A7" s="6" t="s">
        <v>92</v>
      </c>
      <c r="B7" s="6" t="s">
        <v>181</v>
      </c>
      <c r="C7" s="28">
        <f>Term!Z6</f>
        <v>12996781.318246856</v>
      </c>
      <c r="D7" s="28">
        <f>Capital!S6</f>
        <v>277991.82732906583</v>
      </c>
      <c r="E7" s="14">
        <f>IF(C7=0,0,D7/C7)</f>
        <v>2.1389282509414746E-2</v>
      </c>
      <c r="F7" s="29">
        <f>Inputs!$B$5*E7</f>
        <v>1.2833569505648847E-3</v>
      </c>
      <c r="G7" s="9">
        <f>SUMPRODUCT(E14:E58,J14:J58)</f>
        <v>49077890.968107104</v>
      </c>
      <c r="H7" s="9">
        <f>F7*G7</f>
        <v>62984.452492985831</v>
      </c>
      <c r="I7" s="6"/>
      <c r="J7" s="6"/>
    </row>
    <row r="8" spans="1:13" x14ac:dyDescent="0.3">
      <c r="A8" s="6" t="s">
        <v>93</v>
      </c>
      <c r="B8" s="6" t="s">
        <v>182</v>
      </c>
      <c r="C8" s="28">
        <f>Term!AA6+Annuity!R6</f>
        <v>8348429.398647313</v>
      </c>
      <c r="D8" s="28">
        <f>Capital!T6</f>
        <v>512916.04040997068</v>
      </c>
      <c r="E8" s="14">
        <f>IF(C8=0,0,D8/C8)</f>
        <v>6.1438627065957811E-2</v>
      </c>
      <c r="F8" s="29">
        <f>Inputs!$B$5*E8</f>
        <v>3.6863176239574687E-3</v>
      </c>
      <c r="G8" s="9">
        <f>SUMPRODUCT(F14:F58,J14:J58)</f>
        <v>75572719.114017248</v>
      </c>
      <c r="H8" s="9">
        <f>F8*G8</f>
        <v>278585.04636038927</v>
      </c>
      <c r="I8" s="6"/>
      <c r="J8" s="6"/>
      <c r="L8" s="36" t="s">
        <v>214</v>
      </c>
      <c r="M8" s="37">
        <f>H5+H7+$F$8*M5</f>
        <v>1349098.3830081641</v>
      </c>
    </row>
    <row r="9" spans="1:13" x14ac:dyDescent="0.3">
      <c r="A9" s="13" t="s">
        <v>36</v>
      </c>
      <c r="B9" s="6"/>
      <c r="C9" s="6"/>
      <c r="D9" s="6"/>
      <c r="E9" s="6"/>
      <c r="F9" s="6"/>
      <c r="G9" s="6"/>
      <c r="H9" s="10">
        <f>SUM(H5:H8)</f>
        <v>2704841.6202753717</v>
      </c>
      <c r="I9" s="6"/>
      <c r="J9" s="6"/>
      <c r="L9" s="36" t="s">
        <v>215</v>
      </c>
      <c r="M9" s="37">
        <f>H6+$F$8*M6</f>
        <v>1355743.2372672071</v>
      </c>
    </row>
    <row r="10" spans="1:13" x14ac:dyDescent="0.3">
      <c r="A10" s="6" t="s">
        <v>183</v>
      </c>
      <c r="B10" s="6"/>
      <c r="C10" s="6"/>
      <c r="D10" s="6"/>
      <c r="E10" s="6"/>
      <c r="F10" s="6"/>
      <c r="G10" s="6"/>
      <c r="H10" s="9">
        <f>RA!B6</f>
        <v>3900670.8314773766</v>
      </c>
      <c r="I10" s="6"/>
      <c r="J10" s="6"/>
    </row>
    <row r="11" spans="1:13" x14ac:dyDescent="0.3">
      <c r="A11" s="6" t="s">
        <v>37</v>
      </c>
      <c r="B11" s="6"/>
      <c r="C11" s="6"/>
      <c r="D11" s="6"/>
      <c r="E11" s="6"/>
      <c r="F11" s="6"/>
      <c r="G11" s="6"/>
      <c r="H11" s="11">
        <f>IF(H10=0,0,H9/H10-1)</f>
        <v>-0.30657014212836964</v>
      </c>
      <c r="I11" s="6"/>
      <c r="J11" s="6"/>
    </row>
    <row r="12" spans="1:13" x14ac:dyDescent="0.3">
      <c r="A12" s="6"/>
      <c r="B12" s="6"/>
      <c r="C12" s="6"/>
      <c r="D12" s="6"/>
      <c r="E12" s="6"/>
      <c r="F12" s="6"/>
      <c r="G12" s="6"/>
      <c r="H12" s="6"/>
      <c r="I12" s="6"/>
      <c r="J12" s="6"/>
    </row>
    <row r="13" spans="1:13" ht="57.75" customHeight="1" x14ac:dyDescent="0.3">
      <c r="A13" s="8" t="s">
        <v>96</v>
      </c>
      <c r="B13" s="8"/>
      <c r="C13" s="8" t="s">
        <v>118</v>
      </c>
      <c r="D13" s="8" t="s">
        <v>184</v>
      </c>
      <c r="E13" s="8" t="s">
        <v>185</v>
      </c>
      <c r="F13" s="8" t="s">
        <v>186</v>
      </c>
      <c r="G13" s="8" t="s">
        <v>187</v>
      </c>
      <c r="H13" s="8" t="s">
        <v>188</v>
      </c>
      <c r="I13" s="8" t="s">
        <v>189</v>
      </c>
      <c r="J13" s="8" t="s">
        <v>190</v>
      </c>
      <c r="K13" s="8" t="s">
        <v>213</v>
      </c>
      <c r="L13" s="8" t="s">
        <v>212</v>
      </c>
    </row>
    <row r="14" spans="1:13" x14ac:dyDescent="0.3">
      <c r="A14" s="6">
        <v>0</v>
      </c>
      <c r="B14" s="6"/>
      <c r="C14" s="9">
        <f>Term!X6</f>
        <v>2000000000</v>
      </c>
      <c r="D14" s="9">
        <f>Annuity!Q6</f>
        <v>60347853.854437813</v>
      </c>
      <c r="E14" s="9">
        <f>Term!Z6</f>
        <v>12996781.318246856</v>
      </c>
      <c r="F14" s="9">
        <f>Term!AA6+Annuity!R6</f>
        <v>8348429.398647313</v>
      </c>
      <c r="G14" s="9">
        <f t="shared" ref="G14:G58" si="0">$E$5*C14+$E$6*D14+$E$7*E14+$E$8*F14</f>
        <v>4376187.7909199297</v>
      </c>
      <c r="H14" s="9">
        <f>Capital!L6</f>
        <v>4376187.7909199297</v>
      </c>
      <c r="I14" s="11">
        <f t="shared" ref="I14:I58" si="1">IF(H14=0,0,G14/H14-1)</f>
        <v>0</v>
      </c>
      <c r="J14" s="30">
        <f>(1/(1+Inputs!$B$6))^(A14+1)</f>
        <v>0.970873786407767</v>
      </c>
      <c r="K14" s="9">
        <f>SUMPRODUCT(Annuity!R6:R50, J14:J58)</f>
        <v>10318150.214227842</v>
      </c>
      <c r="L14" s="9">
        <f>SUMPRODUCT(Term!AA6:AA25, J14:J33)</f>
        <v>65254568.899789333</v>
      </c>
    </row>
    <row r="15" spans="1:13" x14ac:dyDescent="0.3">
      <c r="A15" s="6">
        <v>1</v>
      </c>
      <c r="B15" s="6"/>
      <c r="C15" s="9">
        <f>Term!X7</f>
        <v>1899031730.9725564</v>
      </c>
      <c r="D15" s="9">
        <f>Annuity!Q7</f>
        <v>58573380.247618534</v>
      </c>
      <c r="E15" s="9">
        <f>Term!Z7</f>
        <v>10903915.312998179</v>
      </c>
      <c r="F15" s="9">
        <f>Term!AA7+Annuity!R7</f>
        <v>7953072.2806067336</v>
      </c>
      <c r="G15" s="9">
        <f t="shared" si="0"/>
        <v>4164836.9365176931</v>
      </c>
      <c r="H15" s="9">
        <f>Capital!L7</f>
        <v>4237198.1220487123</v>
      </c>
      <c r="I15" s="11">
        <f t="shared" si="1"/>
        <v>-1.7077602568187689E-2</v>
      </c>
      <c r="J15" s="30">
        <f>(1/(1+Inputs!$B$6))^(A15+1)</f>
        <v>0.94259590913375435</v>
      </c>
      <c r="K15" s="9">
        <f>SUMPRODUCT(Annuity!R7:R51, J15:J59)</f>
        <v>9637265.1015871558</v>
      </c>
      <c r="L15" s="9">
        <f>SUMPRODUCT(Term!AA7:AA26, J15:J34)</f>
        <v>57830182.751607396</v>
      </c>
    </row>
    <row r="16" spans="1:13" x14ac:dyDescent="0.3">
      <c r="A16" s="6">
        <v>2</v>
      </c>
      <c r="B16" s="6"/>
      <c r="C16" s="9">
        <f>Term!X8</f>
        <v>1803095974.0999391</v>
      </c>
      <c r="D16" s="9">
        <f>Annuity!Q8</f>
        <v>56762484.613315366</v>
      </c>
      <c r="E16" s="9">
        <f>Term!Z8</f>
        <v>8959400.9976954851</v>
      </c>
      <c r="F16" s="9">
        <f>Term!AA8+Annuity!R8</f>
        <v>7558735.393552551</v>
      </c>
      <c r="G16" s="9">
        <f t="shared" si="0"/>
        <v>3960015.2931656148</v>
      </c>
      <c r="H16" s="9">
        <f>Capital!L8</f>
        <v>4120205.2078648438</v>
      </c>
      <c r="I16" s="11">
        <f t="shared" si="1"/>
        <v>-3.8879110776679493E-2</v>
      </c>
      <c r="J16" s="30">
        <f>(1/(1+Inputs!$B$6))^(A16+1)</f>
        <v>0.91514165935315961</v>
      </c>
      <c r="K16" s="9">
        <f>SUMPRODUCT(Annuity!R8:R52, J16:J60)</f>
        <v>8982593.5811794791</v>
      </c>
      <c r="L16" s="9">
        <f>SUMPRODUCT(Term!AA8:AA27, J16:J35)</f>
        <v>50988320.875270113</v>
      </c>
    </row>
    <row r="17" spans="1:12" x14ac:dyDescent="0.3">
      <c r="A17" s="6">
        <v>3</v>
      </c>
      <c r="B17" s="6"/>
      <c r="C17" s="9">
        <f>Term!X9</f>
        <v>1711937588.1639936</v>
      </c>
      <c r="D17" s="9">
        <f>Annuity!Q9</f>
        <v>54915990.583838694</v>
      </c>
      <c r="E17" s="9">
        <f>Term!Z9</f>
        <v>7161300.4288526289</v>
      </c>
      <c r="F17" s="9">
        <f>Term!AA9+Annuity!R9</f>
        <v>7165167.7891911343</v>
      </c>
      <c r="G17" s="9">
        <f t="shared" si="0"/>
        <v>3761467.8998263273</v>
      </c>
      <c r="H17" s="9">
        <f>Capital!L9</f>
        <v>4082324.0180516602</v>
      </c>
      <c r="I17" s="11">
        <f t="shared" si="1"/>
        <v>-7.8596435953279697E-2</v>
      </c>
      <c r="J17" s="30">
        <f>(1/(1+Inputs!$B$6))^(A17+1)</f>
        <v>0.88848704791568889</v>
      </c>
      <c r="K17" s="9">
        <f>SUMPRODUCT(Annuity!R9:R53, J17:J61)</f>
        <v>8354025.7687022826</v>
      </c>
      <c r="L17" s="9">
        <f>SUMPRODUCT(Term!AA9:AA28, J17:J36)</f>
        <v>44699575.037080176</v>
      </c>
    </row>
    <row r="18" spans="1:12" x14ac:dyDescent="0.3">
      <c r="A18" s="6">
        <v>4</v>
      </c>
      <c r="B18" s="6"/>
      <c r="C18" s="9">
        <f>Term!X10</f>
        <v>1625314083.0373485</v>
      </c>
      <c r="D18" s="9">
        <f>Annuity!Q10</f>
        <v>53034960.890349217</v>
      </c>
      <c r="E18" s="9">
        <f>Term!Z10</f>
        <v>5508246.9123897227</v>
      </c>
      <c r="F18" s="9">
        <f>Term!AA10+Annuity!R10</f>
        <v>6772121.2296241382</v>
      </c>
      <c r="G18" s="9">
        <f t="shared" si="0"/>
        <v>3568970.5198857579</v>
      </c>
      <c r="H18" s="9">
        <f>Capital!L10</f>
        <v>4082401.1417336334</v>
      </c>
      <c r="I18" s="11">
        <f t="shared" si="1"/>
        <v>-0.12576682300991171</v>
      </c>
      <c r="J18" s="30">
        <f>(1/(1+Inputs!$B$6))^(A18+1)</f>
        <v>0.862608784384164</v>
      </c>
      <c r="K18" s="9">
        <f>SUMPRODUCT(Annuity!R10:R54, J18:J62)</f>
        <v>7751439.245363906</v>
      </c>
      <c r="L18" s="9">
        <f>SUMPRODUCT(Term!AA10:AA29, J18:J37)</f>
        <v>38936002.783579536</v>
      </c>
    </row>
    <row r="19" spans="1:12" x14ac:dyDescent="0.3">
      <c r="A19" s="6">
        <v>5</v>
      </c>
      <c r="B19" s="6"/>
      <c r="C19" s="9">
        <f>Term!X11</f>
        <v>1542994975.1511221</v>
      </c>
      <c r="D19" s="9">
        <f>Annuity!Q11</f>
        <v>51120725.303012684</v>
      </c>
      <c r="E19" s="9">
        <f>Term!Z11</f>
        <v>3999448.6885900125</v>
      </c>
      <c r="F19" s="9">
        <f>Term!AA11+Annuity!R11</f>
        <v>6379350.7016866393</v>
      </c>
      <c r="G19" s="9">
        <f t="shared" si="0"/>
        <v>3382330.0379173653</v>
      </c>
      <c r="H19" s="9">
        <f>Capital!L11</f>
        <v>4067119.8481317842</v>
      </c>
      <c r="I19" s="11">
        <f t="shared" si="1"/>
        <v>-0.16837217386868364</v>
      </c>
      <c r="J19" s="30">
        <f>(1/(1+Inputs!$B$6))^(A19+1)</f>
        <v>0.83748425668365434</v>
      </c>
      <c r="K19" s="9">
        <f>SUMPRODUCT(Annuity!R11:R55, J19:J63)</f>
        <v>7174697.6387819108</v>
      </c>
      <c r="L19" s="9">
        <f>SUMPRODUCT(Term!AA11:AA30, J19:J38)</f>
        <v>33671053.128573269</v>
      </c>
    </row>
    <row r="20" spans="1:12" x14ac:dyDescent="0.3">
      <c r="A20" s="6">
        <v>6</v>
      </c>
      <c r="B20" s="6"/>
      <c r="C20" s="9">
        <f>Term!X12</f>
        <v>1464761174.9758837</v>
      </c>
      <c r="D20" s="9">
        <f>Annuity!Q12</f>
        <v>49174910.560595974</v>
      </c>
      <c r="E20" s="9">
        <f>Term!Z12</f>
        <v>2634694.2639746028</v>
      </c>
      <c r="F20" s="9">
        <f>Term!AA12+Annuity!R12</f>
        <v>5986615.017869316</v>
      </c>
      <c r="G20" s="9">
        <f t="shared" si="0"/>
        <v>3201384.9855192704</v>
      </c>
      <c r="H20" s="9">
        <f>Capital!L12</f>
        <v>4034677.1360689015</v>
      </c>
      <c r="I20" s="11">
        <f t="shared" si="1"/>
        <v>-0.20653254831724421</v>
      </c>
      <c r="J20" s="30">
        <f>(1/(1+Inputs!$B$6))^(A20+1)</f>
        <v>0.81309151134335378</v>
      </c>
      <c r="K20" s="9">
        <f>SUMPRODUCT(Annuity!R12:R56, J20:J64)</f>
        <v>6623649.0618916955</v>
      </c>
      <c r="L20" s="9">
        <f>SUMPRODUCT(Term!AA12:AA31, J20:J39)</f>
        <v>28879495.924937103</v>
      </c>
    </row>
    <row r="21" spans="1:12" x14ac:dyDescent="0.3">
      <c r="A21" s="6">
        <v>7</v>
      </c>
      <c r="B21" s="6"/>
      <c r="C21" s="9">
        <f>Term!X13</f>
        <v>1390404404.9404869</v>
      </c>
      <c r="D21" s="9">
        <f>Annuity!Q13</f>
        <v>47199472.158499874</v>
      </c>
      <c r="E21" s="9">
        <f>Term!Z13</f>
        <v>1414359.3459038213</v>
      </c>
      <c r="F21" s="9">
        <f>Term!AA13+Annuity!R13</f>
        <v>5593677.5118007697</v>
      </c>
      <c r="G21" s="9">
        <f t="shared" si="0"/>
        <v>3026006.1904055267</v>
      </c>
      <c r="H21" s="9">
        <f>Capital!L13</f>
        <v>3984319.4584497963</v>
      </c>
      <c r="I21" s="11">
        <f t="shared" si="1"/>
        <v>-0.24052119264982996</v>
      </c>
      <c r="J21" s="30">
        <f>(1/(1+Inputs!$B$6))^(A21+1)</f>
        <v>0.78940923431393561</v>
      </c>
      <c r="K21" s="9">
        <f>SUMPRODUCT(Annuity!R13:R57, J21:J65)</f>
        <v>6098124.4006377459</v>
      </c>
      <c r="L21" s="9">
        <f>SUMPRODUCT(Term!AA13:AA32, J21:J40)</f>
        <v>24537354.733480871</v>
      </c>
    </row>
    <row r="22" spans="1:12" x14ac:dyDescent="0.3">
      <c r="A22" s="6">
        <v>8</v>
      </c>
      <c r="B22" s="6"/>
      <c r="C22" s="9">
        <f>Term!X14</f>
        <v>1319726646.3053441</v>
      </c>
      <c r="D22" s="9">
        <f>Annuity!Q14</f>
        <v>45196727.765024155</v>
      </c>
      <c r="E22" s="9">
        <f>Term!Z14</f>
        <v>339415.32364325691</v>
      </c>
      <c r="F22" s="9">
        <f>Term!AA14+Annuity!R14</f>
        <v>5200306.8360749055</v>
      </c>
      <c r="G22" s="9">
        <f t="shared" si="0"/>
        <v>2856097.5397251332</v>
      </c>
      <c r="H22" s="9">
        <f>Capital!L14</f>
        <v>3916087.70956048</v>
      </c>
      <c r="I22" s="11">
        <f t="shared" si="1"/>
        <v>-0.27067579902451011</v>
      </c>
      <c r="J22" s="30">
        <f>(1/(1+Inputs!$B$6))^(A22+1)</f>
        <v>0.76641673234362684</v>
      </c>
      <c r="K22" s="9">
        <f>SUMPRODUCT(Annuity!R14:R58, J22:J66)</f>
        <v>5597935.4420646727</v>
      </c>
      <c r="L22" s="9">
        <f>SUMPRODUCT(Term!AA14:AA33, J22:J41)</f>
        <v>20621843.010464221</v>
      </c>
    </row>
    <row r="23" spans="1:12" x14ac:dyDescent="0.3">
      <c r="A23" s="6">
        <v>9</v>
      </c>
      <c r="B23" s="6"/>
      <c r="C23" s="9">
        <f>Term!X15</f>
        <v>1252539613.5970042</v>
      </c>
      <c r="D23" s="9">
        <f>Annuity!Q15</f>
        <v>43169391.909014083</v>
      </c>
      <c r="E23" s="9">
        <f>Term!Z15</f>
        <v>0</v>
      </c>
      <c r="F23" s="9">
        <f>Term!AA15+Annuity!R15</f>
        <v>4806277.869640138</v>
      </c>
      <c r="G23" s="9">
        <f t="shared" si="0"/>
        <v>2704185.7371508004</v>
      </c>
      <c r="H23" s="9">
        <f>Capital!L15</f>
        <v>3830632.6317778183</v>
      </c>
      <c r="I23" s="11">
        <f t="shared" si="1"/>
        <v>-0.29406288801550451</v>
      </c>
      <c r="J23" s="30">
        <f>(1/(1+Inputs!$B$6))^(A23+1)</f>
        <v>0.74409391489672505</v>
      </c>
      <c r="K23" s="9">
        <f>SUMPRODUCT(Annuity!R15:R59, J23:J67)</f>
        <v>5122872.8358137887</v>
      </c>
      <c r="L23" s="9">
        <f>SUMPRODUCT(Term!AA15:AA34, J23:J42)</f>
        <v>17111303.444226351</v>
      </c>
    </row>
    <row r="24" spans="1:12" x14ac:dyDescent="0.3">
      <c r="A24" s="6">
        <v>10</v>
      </c>
      <c r="B24" s="6"/>
      <c r="C24" s="9">
        <f>Term!X16</f>
        <v>1188664255.3000557</v>
      </c>
      <c r="D24" s="9">
        <f>Annuity!Q16</f>
        <v>41120611.423040144</v>
      </c>
      <c r="E24" s="9">
        <f>Term!Z16</f>
        <v>0</v>
      </c>
      <c r="F24" s="9">
        <f>Term!AA16+Annuity!R16</f>
        <v>4411372.7408916662</v>
      </c>
      <c r="G24" s="9">
        <f t="shared" si="0"/>
        <v>2561723.9554412393</v>
      </c>
      <c r="H24" s="9">
        <f>Capital!L16</f>
        <v>3729088.4612280019</v>
      </c>
      <c r="I24" s="11">
        <f t="shared" si="1"/>
        <v>-0.31304285696734191</v>
      </c>
      <c r="J24" s="30">
        <f>(1/(1+Inputs!$B$6))^(A24+1)</f>
        <v>0.72242127659876221</v>
      </c>
      <c r="K24" s="9">
        <f>SUMPRODUCT(Annuity!R16:R60, J24:J68)</f>
        <v>4672703.8841131283</v>
      </c>
      <c r="L24" s="9">
        <f>SUMPRODUCT(Term!AA16:AA35, J24:J43)</f>
        <v>13985150.279824989</v>
      </c>
    </row>
    <row r="25" spans="1:12" x14ac:dyDescent="0.3">
      <c r="A25" s="6">
        <v>11</v>
      </c>
      <c r="B25" s="6"/>
      <c r="C25" s="9">
        <f>Term!X17</f>
        <v>1127930279.5911882</v>
      </c>
      <c r="D25" s="9">
        <f>Annuity!Q17</f>
        <v>39054000.929872587</v>
      </c>
      <c r="E25" s="9">
        <f>Term!Z17</f>
        <v>0</v>
      </c>
      <c r="F25" s="9">
        <f>Term!AA17+Annuity!R17</f>
        <v>4015381.9708656645</v>
      </c>
      <c r="G25" s="9">
        <f t="shared" si="0"/>
        <v>2421400.5072373757</v>
      </c>
      <c r="H25" s="9">
        <f>Capital!L17</f>
        <v>3612996.4370047916</v>
      </c>
      <c r="I25" s="11">
        <f t="shared" si="1"/>
        <v>-0.3298082216641377</v>
      </c>
      <c r="J25" s="30">
        <f>(1/(1+Inputs!$B$6))^(A25+1)</f>
        <v>0.70137988019297304</v>
      </c>
      <c r="K25" s="9">
        <f>SUMPRODUCT(Annuity!R17:R61, J25:J69)</f>
        <v>4247170.1583029591</v>
      </c>
      <c r="L25" s="9">
        <f>SUMPRODUCT(Term!AA17:AA36, J25:J44)</f>
        <v>11223814.478607221</v>
      </c>
    </row>
    <row r="26" spans="1:12" x14ac:dyDescent="0.3">
      <c r="A26" s="6">
        <v>12</v>
      </c>
      <c r="B26" s="6"/>
      <c r="C26" s="9">
        <f>Term!X18</f>
        <v>1070175703.989449</v>
      </c>
      <c r="D26" s="9">
        <f>Annuity!Q18</f>
        <v>36973677.421415024</v>
      </c>
      <c r="E26" s="9">
        <f>Term!Z18</f>
        <v>0</v>
      </c>
      <c r="F26" s="9">
        <f>Term!AA18+Annuity!R18</f>
        <v>3618105.7383338865</v>
      </c>
      <c r="G26" s="9">
        <f t="shared" si="0"/>
        <v>2283186.7005573544</v>
      </c>
      <c r="H26" s="9">
        <f>Capital!L18</f>
        <v>3484274.8480331516</v>
      </c>
      <c r="I26" s="11">
        <f t="shared" si="1"/>
        <v>-0.34471682053262909</v>
      </c>
      <c r="J26" s="30">
        <f>(1/(1+Inputs!$B$6))^(A26+1)</f>
        <v>0.6809513399931777</v>
      </c>
      <c r="K26" s="9">
        <f>SUMPRODUCT(Annuity!R18:R62, J26:J70)</f>
        <v>3845984.9439727236</v>
      </c>
      <c r="L26" s="9">
        <f>SUMPRODUCT(Term!AA18:AA37, J26:J45)</f>
        <v>8808691.5672826711</v>
      </c>
    </row>
    <row r="27" spans="1:12" x14ac:dyDescent="0.3">
      <c r="A27" s="6">
        <v>13</v>
      </c>
      <c r="B27" s="6"/>
      <c r="C27" s="9">
        <f>Term!X19</f>
        <v>1015246427.8872019</v>
      </c>
      <c r="D27" s="9">
        <f>Annuity!Q19</f>
        <v>34884292.694453694</v>
      </c>
      <c r="E27" s="9">
        <f>Term!Z19</f>
        <v>0</v>
      </c>
      <c r="F27" s="9">
        <f>Term!AA19+Annuity!R19</f>
        <v>3219355.2649160009</v>
      </c>
      <c r="G27" s="9">
        <f t="shared" si="0"/>
        <v>2147077.6866186941</v>
      </c>
      <c r="H27" s="9">
        <f>Capital!L19</f>
        <v>3345238.0788658699</v>
      </c>
      <c r="I27" s="11">
        <f t="shared" si="1"/>
        <v>-0.3581689446311056</v>
      </c>
      <c r="J27" s="30">
        <f>(1/(1+Inputs!$B$6))^(A27+1)</f>
        <v>0.66111780581861912</v>
      </c>
      <c r="K27" s="9">
        <f>SUMPRODUCT(Annuity!R19:R63, J27:J71)</f>
        <v>3468830.5221366063</v>
      </c>
      <c r="L27" s="9">
        <f>SUMPRODUCT(Term!AA19:AA38, J27:J46)</f>
        <v>6722092.0383633217</v>
      </c>
    </row>
    <row r="28" spans="1:12" x14ac:dyDescent="0.3">
      <c r="A28" s="6">
        <v>14</v>
      </c>
      <c r="B28" s="6"/>
      <c r="C28" s="9">
        <f>Term!X20</f>
        <v>962995827.01898777</v>
      </c>
      <c r="D28" s="9">
        <f>Annuity!Q20</f>
        <v>32791062.074222714</v>
      </c>
      <c r="E28" s="9">
        <f>Term!Z20</f>
        <v>0</v>
      </c>
      <c r="F28" s="9">
        <f>Term!AA20+Annuity!R20</f>
        <v>2818954.313313046</v>
      </c>
      <c r="G28" s="9">
        <f t="shared" si="0"/>
        <v>2013093.0711020345</v>
      </c>
      <c r="H28" s="9">
        <f>Capital!L20</f>
        <v>3198673.6402171915</v>
      </c>
      <c r="I28" s="11">
        <f t="shared" si="1"/>
        <v>-0.37064755660244708</v>
      </c>
      <c r="J28" s="30">
        <f>(1/(1+Inputs!$B$6))^(A28+1)</f>
        <v>0.64186194739671765</v>
      </c>
      <c r="K28" s="9">
        <f>SUMPRODUCT(Annuity!R20:R64, J28:J72)</f>
        <v>3115355.3008079184</v>
      </c>
      <c r="L28" s="9">
        <f>SUMPRODUCT(Term!AA20:AA39, J28:J47)</f>
        <v>4947194.1708001224</v>
      </c>
    </row>
    <row r="29" spans="1:12" x14ac:dyDescent="0.3">
      <c r="A29" s="6">
        <v>15</v>
      </c>
      <c r="B29" s="6"/>
      <c r="C29" s="9">
        <f>Term!X21</f>
        <v>913284369.02145076</v>
      </c>
      <c r="D29" s="9">
        <f>Annuity!Q21</f>
        <v>30699787.475422211</v>
      </c>
      <c r="E29" s="9">
        <f>Term!Z21</f>
        <v>0</v>
      </c>
      <c r="F29" s="9">
        <f>Term!AA21+Annuity!R21</f>
        <v>2416740.7851458271</v>
      </c>
      <c r="G29" s="9">
        <f t="shared" si="0"/>
        <v>1881277.3777012613</v>
      </c>
      <c r="H29" s="9">
        <f>Capital!L21</f>
        <v>3047993.2208736828</v>
      </c>
      <c r="I29" s="11">
        <f t="shared" si="1"/>
        <v>-0.38278163979577084</v>
      </c>
      <c r="J29" s="30">
        <f>(1/(1+Inputs!$B$6))^(A29+1)</f>
        <v>0.62316693922011412</v>
      </c>
      <c r="K29" s="9">
        <f>SUMPRODUCT(Annuity!R21:R65, J29:J73)</f>
        <v>2785170.8201316856</v>
      </c>
      <c r="L29" s="9">
        <f>SUMPRODUCT(Term!AA21:AA40, J29:J48)</f>
        <v>3467999.1463108668</v>
      </c>
    </row>
    <row r="30" spans="1:12" x14ac:dyDescent="0.3">
      <c r="A30" s="6">
        <v>16</v>
      </c>
      <c r="B30" s="6"/>
      <c r="C30" s="9">
        <f>Term!X22</f>
        <v>865979249.33789432</v>
      </c>
      <c r="D30" s="9">
        <f>Annuity!Q22</f>
        <v>28616872.42603277</v>
      </c>
      <c r="E30" s="9">
        <f>Term!Z22</f>
        <v>0</v>
      </c>
      <c r="F30" s="9">
        <f>Term!AA22+Annuity!R22</f>
        <v>2012568.3963789979</v>
      </c>
      <c r="G30" s="9">
        <f t="shared" si="0"/>
        <v>1751700.2897067785</v>
      </c>
      <c r="H30" s="9">
        <f>Capital!L22</f>
        <v>2897479.7869914663</v>
      </c>
      <c r="I30" s="11">
        <f t="shared" si="1"/>
        <v>-0.39544003117080673</v>
      </c>
      <c r="J30" s="30">
        <f>(1/(1+Inputs!$B$6))^(A30+1)</f>
        <v>0.60501644584477099</v>
      </c>
      <c r="K30" s="9">
        <f>SUMPRODUCT(Annuity!R22:R66, J30:J74)</f>
        <v>2477848.6651913607</v>
      </c>
      <c r="L30" s="9">
        <f>SUMPRODUCT(Term!AA22:AA41, J30:J49)</f>
        <v>2269288.3432834512</v>
      </c>
    </row>
    <row r="31" spans="1:12" x14ac:dyDescent="0.3">
      <c r="A31" s="6">
        <v>17</v>
      </c>
      <c r="B31" s="6"/>
      <c r="C31" s="9">
        <f>Term!X23</f>
        <v>820954046.82714176</v>
      </c>
      <c r="D31" s="9">
        <f>Annuity!Q23</f>
        <v>26549326.223823566</v>
      </c>
      <c r="E31" s="9">
        <f>Term!Z23</f>
        <v>0</v>
      </c>
      <c r="F31" s="9">
        <f>Term!AA23+Annuity!R23</f>
        <v>1606308.3976699375</v>
      </c>
      <c r="G31" s="9">
        <f t="shared" si="0"/>
        <v>1624456.580950974</v>
      </c>
      <c r="H31" s="9">
        <f>Capital!L23</f>
        <v>2752652.2623298238</v>
      </c>
      <c r="I31" s="11">
        <f t="shared" si="1"/>
        <v>-0.40985768410280543</v>
      </c>
      <c r="J31" s="30">
        <f>(1/(1+Inputs!$B$6))^(A31+1)</f>
        <v>0.58739460761628248</v>
      </c>
      <c r="K31" s="9">
        <f>SUMPRODUCT(Annuity!R23:R67, J31:J75)</f>
        <v>2192917.3339963793</v>
      </c>
      <c r="L31" s="9">
        <f>SUMPRODUCT(Term!AA23:AA42, J31:J50)</f>
        <v>1336582.6962817013</v>
      </c>
    </row>
    <row r="32" spans="1:12" x14ac:dyDescent="0.3">
      <c r="A32" s="6">
        <v>18</v>
      </c>
      <c r="B32" s="6"/>
      <c r="C32" s="9">
        <f>Term!X24</f>
        <v>778088398.54955208</v>
      </c>
      <c r="D32" s="9">
        <f>Annuity!Q24</f>
        <v>24504753.930049215</v>
      </c>
      <c r="E32" s="9">
        <f>Term!Z24</f>
        <v>0</v>
      </c>
      <c r="F32" s="9">
        <f>Term!AA24+Annuity!R24</f>
        <v>1197851.2940110993</v>
      </c>
      <c r="G32" s="9">
        <f t="shared" si="0"/>
        <v>1499665.6325874459</v>
      </c>
      <c r="H32" s="9">
        <f>Capital!L24</f>
        <v>2620748.4904008699</v>
      </c>
      <c r="I32" s="11">
        <f t="shared" si="1"/>
        <v>-0.42777201319381208</v>
      </c>
      <c r="J32" s="30">
        <f>(1/(1+Inputs!$B$6))^(A32+1)</f>
        <v>0.57028602681192475</v>
      </c>
      <c r="K32" s="9">
        <f>SUMPRODUCT(Annuity!R24:R68, J32:J76)</f>
        <v>1929859.1242114874</v>
      </c>
      <c r="L32" s="9">
        <f>SUMPRODUCT(Term!AA24:AA43, J32:J51)</f>
        <v>656104.01510652259</v>
      </c>
    </row>
    <row r="33" spans="1:12" x14ac:dyDescent="0.3">
      <c r="A33" s="6">
        <v>19</v>
      </c>
      <c r="B33" s="6"/>
      <c r="C33" s="9">
        <f>Term!X25</f>
        <v>737267693.32475495</v>
      </c>
      <c r="D33" s="9">
        <f>Annuity!Q25</f>
        <v>22491328.463321034</v>
      </c>
      <c r="E33" s="9">
        <f>Term!Z25</f>
        <v>0</v>
      </c>
      <c r="F33" s="9">
        <f>Term!AA25+Annuity!R25</f>
        <v>787108.50267388381</v>
      </c>
      <c r="G33" s="9">
        <f t="shared" si="0"/>
        <v>1377470.41790559</v>
      </c>
      <c r="H33" s="9">
        <f>Capital!L25</f>
        <v>2511258.6493415679</v>
      </c>
      <c r="I33" s="11">
        <f t="shared" si="1"/>
        <v>-0.45148206128956414</v>
      </c>
      <c r="J33" s="30">
        <f>(1/(1+Inputs!$B$6))^(A33+1)</f>
        <v>0.55367575418633475</v>
      </c>
      <c r="K33" s="9">
        <f>SUMPRODUCT(Annuity!R25:R69, J33:J77)</f>
        <v>1688107.1210406001</v>
      </c>
      <c r="L33" s="9">
        <f>SUMPRODUCT(Term!AA25:AA44, J33:J52)</f>
        <v>214738.16310429748</v>
      </c>
    </row>
    <row r="34" spans="1:12" x14ac:dyDescent="0.3">
      <c r="A34" s="6">
        <v>20</v>
      </c>
      <c r="B34" s="6"/>
      <c r="C34" s="9">
        <v>0</v>
      </c>
      <c r="D34" s="9">
        <f>Annuity!Q26</f>
        <v>20517740.689109266</v>
      </c>
      <c r="E34" s="9">
        <v>0</v>
      </c>
      <c r="F34" s="9">
        <f>Annuity!R26</f>
        <v>374013.87086553156</v>
      </c>
      <c r="G34" s="9">
        <f t="shared" si="0"/>
        <v>647219.47765603475</v>
      </c>
      <c r="H34" s="9">
        <f>Capital!L26</f>
        <v>2436292.2475055708</v>
      </c>
      <c r="I34" s="11">
        <f t="shared" si="1"/>
        <v>-0.73434243025700274</v>
      </c>
      <c r="J34" s="30">
        <f>(1/(1+Inputs!$B$6))^(A34+1)</f>
        <v>0.53754927590906287</v>
      </c>
      <c r="K34" s="9">
        <f>SUMPRODUCT(Annuity!R26:R70, J34:J78)</f>
        <v>1467042.3903004583</v>
      </c>
      <c r="L34" s="9">
        <f>SUMPRODUCT(Term!AA26:AA45, J34:J53)</f>
        <v>0</v>
      </c>
    </row>
    <row r="35" spans="1:12" x14ac:dyDescent="0.3">
      <c r="A35" s="6">
        <v>21</v>
      </c>
      <c r="B35" s="6"/>
      <c r="C35" s="9">
        <v>0</v>
      </c>
      <c r="D35" s="9">
        <f>Annuity!Q27</f>
        <v>18593123.176673021</v>
      </c>
      <c r="E35" s="9">
        <v>0</v>
      </c>
      <c r="F35" s="9">
        <f>Annuity!R27</f>
        <v>348284.26566136803</v>
      </c>
      <c r="G35" s="9">
        <f t="shared" si="0"/>
        <v>587083.29398031766</v>
      </c>
      <c r="H35" s="9">
        <f>Capital!L27</f>
        <v>2305894.6412645611</v>
      </c>
      <c r="I35" s="11">
        <f t="shared" si="1"/>
        <v>-0.74539890787969432</v>
      </c>
      <c r="J35" s="30">
        <f>(1/(1+Inputs!$B$6))^(A35+1)</f>
        <v>0.52189250088258532</v>
      </c>
      <c r="K35" s="9">
        <f>SUMPRODUCT(Annuity!R27:R71, J35:J79)</f>
        <v>1265991.504836746</v>
      </c>
      <c r="L35" s="9">
        <f>SUMPRODUCT(Term!AA27:AA46, J35:J54)</f>
        <v>0</v>
      </c>
    </row>
    <row r="36" spans="1:12" x14ac:dyDescent="0.3">
      <c r="A36" s="6">
        <v>22</v>
      </c>
      <c r="B36" s="6"/>
      <c r="C36" s="9">
        <v>0</v>
      </c>
      <c r="D36" s="9">
        <f>Annuity!Q28</f>
        <v>16726943.307960838</v>
      </c>
      <c r="E36" s="9">
        <v>0</v>
      </c>
      <c r="F36" s="9">
        <f>Annuity!R28</f>
        <v>322228.87191149947</v>
      </c>
      <c r="G36" s="9">
        <f t="shared" si="0"/>
        <v>528705.02634314273</v>
      </c>
      <c r="H36" s="9">
        <f>Capital!L28</f>
        <v>2166777.3099641046</v>
      </c>
      <c r="I36" s="11">
        <f t="shared" si="1"/>
        <v>-0.75599475593922416</v>
      </c>
      <c r="J36" s="30">
        <f>(1/(1+Inputs!$B$6))^(A36+1)</f>
        <v>0.50669174842969444</v>
      </c>
      <c r="K36" s="9">
        <f>SUMPRODUCT(Annuity!R28:R72, J36:J80)</f>
        <v>1084224.5584126797</v>
      </c>
      <c r="L36" s="9">
        <f>SUMPRODUCT(Term!AA28:AA47, J36:J55)</f>
        <v>0</v>
      </c>
    </row>
    <row r="37" spans="1:12" x14ac:dyDescent="0.3">
      <c r="A37" s="6">
        <v>23</v>
      </c>
      <c r="B37" s="6"/>
      <c r="C37" s="9">
        <v>0</v>
      </c>
      <c r="D37" s="9">
        <f>Annuity!Q29</f>
        <v>14928861.788375258</v>
      </c>
      <c r="E37" s="9">
        <v>0</v>
      </c>
      <c r="F37" s="9">
        <f>Annuity!R29</f>
        <v>296016.32659937715</v>
      </c>
      <c r="G37" s="9">
        <f t="shared" si="0"/>
        <v>472388.95703090657</v>
      </c>
      <c r="H37" s="9">
        <f>Capital!L29</f>
        <v>2020041.2014271573</v>
      </c>
      <c r="I37" s="11">
        <f t="shared" si="1"/>
        <v>-0.76614885048029502</v>
      </c>
      <c r="J37" s="30">
        <f>(1/(1+Inputs!$B$6))^(A37+1)</f>
        <v>0.49193373633950915</v>
      </c>
      <c r="K37" s="9">
        <f>SUMPRODUCT(Annuity!R29:R73, J37:J81)</f>
        <v>920953.84790931339</v>
      </c>
      <c r="L37" s="9">
        <f>SUMPRODUCT(Term!AA29:AA48, J37:J56)</f>
        <v>0</v>
      </c>
    </row>
    <row r="38" spans="1:12" x14ac:dyDescent="0.3">
      <c r="A38" s="6">
        <v>24</v>
      </c>
      <c r="B38" s="6"/>
      <c r="C38" s="9">
        <v>0</v>
      </c>
      <c r="D38" s="9">
        <f>Annuity!Q30</f>
        <v>13208553.46461392</v>
      </c>
      <c r="E38" s="9">
        <v>0</v>
      </c>
      <c r="F38" s="9">
        <f>Annuity!R30</f>
        <v>269832.79787824949</v>
      </c>
      <c r="G38" s="9">
        <f t="shared" si="0"/>
        <v>418440.87566186115</v>
      </c>
      <c r="H38" s="9">
        <f>Capital!L30</f>
        <v>1867034.7205801059</v>
      </c>
      <c r="I38" s="11">
        <f t="shared" si="1"/>
        <v>-0.77587943542268589</v>
      </c>
      <c r="J38" s="30">
        <f>(1/(1+Inputs!$B$6))^(A38+1)</f>
        <v>0.47760556926165937</v>
      </c>
      <c r="K38" s="9">
        <f>SUMPRODUCT(Annuity!R30:R74, J38:J82)</f>
        <v>775333.43034778535</v>
      </c>
      <c r="L38" s="9">
        <f>SUMPRODUCT(Term!AA30:AA49, J38:J57)</f>
        <v>0</v>
      </c>
    </row>
    <row r="39" spans="1:12" x14ac:dyDescent="0.3">
      <c r="A39" s="6">
        <v>25</v>
      </c>
      <c r="B39" s="6"/>
      <c r="C39" s="9">
        <v>0</v>
      </c>
      <c r="D39" s="9">
        <f>Annuity!Q31</f>
        <v>11575488.850360861</v>
      </c>
      <c r="E39" s="9">
        <v>0</v>
      </c>
      <c r="F39" s="9">
        <f>Annuity!R31</f>
        <v>243880.2175122519</v>
      </c>
      <c r="G39" s="9">
        <f t="shared" si="0"/>
        <v>367161.32363326463</v>
      </c>
      <c r="H39" s="9">
        <f>Capital!L31</f>
        <v>1709348.4274378696</v>
      </c>
      <c r="I39" s="11">
        <f t="shared" si="1"/>
        <v>-0.78520393049204129</v>
      </c>
      <c r="J39" s="30">
        <f>(1/(1+Inputs!$B$6))^(A39+1)</f>
        <v>0.46369472743850421</v>
      </c>
      <c r="K39" s="9">
        <f>SUMPRODUCT(Annuity!R31:R75, J39:J83)</f>
        <v>646459.78331167775</v>
      </c>
      <c r="L39" s="9">
        <f>SUMPRODUCT(Term!AA31:AA50, J39:J58)</f>
        <v>0</v>
      </c>
    </row>
    <row r="40" spans="1:12" x14ac:dyDescent="0.3">
      <c r="A40" s="6">
        <v>26</v>
      </c>
      <c r="B40" s="6"/>
      <c r="C40" s="9">
        <v>0</v>
      </c>
      <c r="D40" s="9">
        <f>Annuity!Q32</f>
        <v>10038677.042792726</v>
      </c>
      <c r="E40" s="9">
        <v>0</v>
      </c>
      <c r="F40" s="9">
        <f>Annuity!R32</f>
        <v>218373.50090117077</v>
      </c>
      <c r="G40" s="9">
        <f t="shared" si="0"/>
        <v>318837.60170458892</v>
      </c>
      <c r="H40" s="9">
        <f>Capital!L32</f>
        <v>1548797.8922272678</v>
      </c>
      <c r="I40" s="11">
        <f t="shared" si="1"/>
        <v>-0.79413866502227703</v>
      </c>
      <c r="J40" s="30">
        <f>(1/(1+Inputs!$B$6))^(A40+1)</f>
        <v>0.45018905576553808</v>
      </c>
      <c r="K40" s="9">
        <f>SUMPRODUCT(Annuity!R32:R76, J40:J84)</f>
        <v>533373.81232469098</v>
      </c>
      <c r="L40" s="9">
        <f>SUMPRODUCT(Term!AA32:AA51, J40:J59)</f>
        <v>0</v>
      </c>
    </row>
    <row r="41" spans="1:12" x14ac:dyDescent="0.3">
      <c r="A41" s="6">
        <v>27</v>
      </c>
      <c r="B41" s="6"/>
      <c r="C41" s="9">
        <v>0</v>
      </c>
      <c r="D41" s="9">
        <f>Annuity!Q33</f>
        <v>8606373.8959308621</v>
      </c>
      <c r="E41" s="9">
        <v>0</v>
      </c>
      <c r="F41" s="9">
        <f>Annuity!R33</f>
        <v>193536.61826342819</v>
      </c>
      <c r="G41" s="9">
        <f t="shared" si="0"/>
        <v>273734.64995678136</v>
      </c>
      <c r="H41" s="9">
        <f>Capital!L33</f>
        <v>1387392.7017851043</v>
      </c>
      <c r="I41" s="11">
        <f t="shared" si="1"/>
        <v>-0.80269850806871212</v>
      </c>
      <c r="J41" s="30">
        <f>(1/(1+Inputs!$B$6))^(A41+1)</f>
        <v>0.43707675317042538</v>
      </c>
      <c r="K41" s="9">
        <f>SUMPRODUCT(Annuity!R33:R77, J41:J85)</f>
        <v>435064.45214977814</v>
      </c>
      <c r="L41" s="9">
        <f>SUMPRODUCT(Term!AA33:AA52, J41:J60)</f>
        <v>0</v>
      </c>
    </row>
    <row r="42" spans="1:12" x14ac:dyDescent="0.3">
      <c r="A42" s="6">
        <v>28</v>
      </c>
      <c r="B42" s="6"/>
      <c r="C42" s="9">
        <v>0</v>
      </c>
      <c r="D42" s="9">
        <f>Annuity!Q34</f>
        <v>7285763.4409073731</v>
      </c>
      <c r="E42" s="9">
        <v>0</v>
      </c>
      <c r="F42" s="9">
        <f>Annuity!R34</f>
        <v>169597.42415555121</v>
      </c>
      <c r="G42" s="9">
        <f t="shared" si="0"/>
        <v>232085.03751801446</v>
      </c>
      <c r="H42" s="9">
        <f>Capital!L34</f>
        <v>1227290.1150354063</v>
      </c>
      <c r="I42" s="11">
        <f t="shared" si="1"/>
        <v>-0.81089635231738266</v>
      </c>
      <c r="J42" s="30">
        <f>(1/(1+Inputs!$B$6))^(A42+1)</f>
        <v>0.42434636230138384</v>
      </c>
      <c r="K42" s="9">
        <f>SUMPRODUCT(Annuity!R34:R78, J42:J86)</f>
        <v>350474.09541961493</v>
      </c>
      <c r="L42" s="9">
        <f>SUMPRODUCT(Term!AA34:AA53, J42:J61)</f>
        <v>0</v>
      </c>
    </row>
    <row r="43" spans="1:12" x14ac:dyDescent="0.3">
      <c r="A43" s="6">
        <v>29</v>
      </c>
      <c r="B43" s="6"/>
      <c r="C43" s="9">
        <v>0</v>
      </c>
      <c r="D43" s="9">
        <f>Annuity!Q35</f>
        <v>6082625.5181419058</v>
      </c>
      <c r="E43" s="9">
        <v>0</v>
      </c>
      <c r="F43" s="9">
        <f>Annuity!R35</f>
        <v>146781.22517397167</v>
      </c>
      <c r="G43" s="9">
        <f t="shared" si="0"/>
        <v>194078.45527032399</v>
      </c>
      <c r="H43" s="9">
        <f>Capital!L35</f>
        <v>1070732.7267518165</v>
      </c>
      <c r="I43" s="11">
        <f t="shared" si="1"/>
        <v>-0.81874238974736302</v>
      </c>
      <c r="J43" s="30">
        <f>(1/(1+Inputs!$B$6))^(A43+1)</f>
        <v>0.41198675951590663</v>
      </c>
      <c r="K43" s="9">
        <f>SUMPRODUCT(Annuity!R35:R79, J43:J87)</f>
        <v>278506.04542352195</v>
      </c>
      <c r="L43" s="9">
        <f>SUMPRODUCT(Term!AA35:AA54, J43:J62)</f>
        <v>0</v>
      </c>
    </row>
    <row r="44" spans="1:12" x14ac:dyDescent="0.3">
      <c r="A44" s="6">
        <v>30</v>
      </c>
      <c r="B44" s="6"/>
      <c r="C44" s="9">
        <v>0</v>
      </c>
      <c r="D44" s="9">
        <f>Annuity!Q36</f>
        <v>5001008.1258203816</v>
      </c>
      <c r="E44" s="9">
        <v>0</v>
      </c>
      <c r="F44" s="9">
        <f>Annuity!R36</f>
        <v>125303.17193307003</v>
      </c>
      <c r="G44" s="9">
        <f t="shared" si="0"/>
        <v>159851.27981219531</v>
      </c>
      <c r="H44" s="9">
        <f>Capital!L36</f>
        <v>919970.76268053986</v>
      </c>
      <c r="I44" s="11">
        <f t="shared" si="1"/>
        <v>-0.82624308695807569</v>
      </c>
      <c r="J44" s="30">
        <f>(1/(1+Inputs!$B$6))^(A44+1)</f>
        <v>0.39998714516107442</v>
      </c>
      <c r="K44" s="9">
        <f>SUMPRODUCT(Annuity!R36:R80, J44:J88)</f>
        <v>218034.12410632265</v>
      </c>
      <c r="L44" s="9">
        <f>SUMPRODUCT(Term!AA36:AA55, J44:J63)</f>
        <v>0</v>
      </c>
    </row>
    <row r="45" spans="1:12" x14ac:dyDescent="0.3">
      <c r="A45" s="6">
        <v>31</v>
      </c>
      <c r="B45" s="6"/>
      <c r="C45" s="9">
        <v>0</v>
      </c>
      <c r="D45" s="9">
        <f>Annuity!Q37</f>
        <v>4042928.5444914601</v>
      </c>
      <c r="E45" s="9">
        <v>0</v>
      </c>
      <c r="F45" s="9">
        <f>Annuity!R37</f>
        <v>105359.70239945067</v>
      </c>
      <c r="G45" s="9">
        <f t="shared" si="0"/>
        <v>129476.95463477774</v>
      </c>
      <c r="H45" s="9">
        <f>Capital!L37</f>
        <v>777171.29434351961</v>
      </c>
      <c r="I45" s="11">
        <f t="shared" si="1"/>
        <v>-0.83339972078594649</v>
      </c>
      <c r="J45" s="30">
        <f>(1/(1+Inputs!$B$6))^(A45+1)</f>
        <v>0.38833703413696541</v>
      </c>
      <c r="K45" s="9">
        <f>SUMPRODUCT(Annuity!R37:R81, J45:J89)</f>
        <v>167914.46608518675</v>
      </c>
      <c r="L45" s="9">
        <f>SUMPRODUCT(Term!AA37:AA56, J45:J64)</f>
        <v>0</v>
      </c>
    </row>
    <row r="46" spans="1:12" x14ac:dyDescent="0.3">
      <c r="A46" s="6">
        <v>32</v>
      </c>
      <c r="B46" s="6"/>
      <c r="C46" s="9">
        <v>0</v>
      </c>
      <c r="D46" s="9">
        <f>Annuity!Q38</f>
        <v>3208132.0135462745</v>
      </c>
      <c r="E46" s="9">
        <v>0</v>
      </c>
      <c r="F46" s="9">
        <f>Annuity!R38</f>
        <v>87119.434706214059</v>
      </c>
      <c r="G46" s="9">
        <f t="shared" si="0"/>
        <v>102958.08845818759</v>
      </c>
      <c r="H46" s="9">
        <f>Capital!L38</f>
        <v>644318.65399622533</v>
      </c>
      <c r="I46" s="11">
        <f t="shared" si="1"/>
        <v>-0.84020625847223918</v>
      </c>
      <c r="J46" s="30">
        <f>(1/(1+Inputs!$B$6))^(A46+1)</f>
        <v>0.37702624673491786</v>
      </c>
      <c r="K46" s="9">
        <f>SUMPRODUCT(Annuity!R38:R82, J46:J90)</f>
        <v>126999.39173783077</v>
      </c>
      <c r="L46" s="9">
        <f>SUMPRODUCT(Term!AA38:AA57, J46:J65)</f>
        <v>0</v>
      </c>
    </row>
    <row r="47" spans="1:12" x14ac:dyDescent="0.3">
      <c r="A47" s="6">
        <v>33</v>
      </c>
      <c r="B47" s="6"/>
      <c r="C47" s="9">
        <v>0</v>
      </c>
      <c r="D47" s="9">
        <f>Annuity!Q39</f>
        <v>2493939.4555149958</v>
      </c>
      <c r="E47" s="9">
        <v>0</v>
      </c>
      <c r="F47" s="9">
        <f>Annuity!R39</f>
        <v>70714.095413218689</v>
      </c>
      <c r="G47" s="9">
        <f t="shared" si="0"/>
        <v>80221.264974693142</v>
      </c>
      <c r="H47" s="9">
        <f>Capital!L39</f>
        <v>523112.47404015489</v>
      </c>
      <c r="I47" s="11">
        <f t="shared" si="1"/>
        <v>-0.84664623966023944</v>
      </c>
      <c r="J47" s="30">
        <f>(1/(1+Inputs!$B$6))^(A47+1)</f>
        <v>0.36604489974263871</v>
      </c>
      <c r="K47" s="9">
        <f>SUMPRODUCT(Annuity!R39:R83, J47:J91)</f>
        <v>94153.078252879146</v>
      </c>
      <c r="L47" s="9">
        <f>SUMPRODUCT(Term!AA39:AA58, J47:J66)</f>
        <v>0</v>
      </c>
    </row>
    <row r="48" spans="1:12" x14ac:dyDescent="0.3">
      <c r="A48" s="6">
        <v>34</v>
      </c>
      <c r="B48" s="6"/>
      <c r="C48" s="9">
        <v>0</v>
      </c>
      <c r="D48" s="9">
        <f>Annuity!Q40</f>
        <v>1895215.107864907</v>
      </c>
      <c r="E48" s="9">
        <v>0</v>
      </c>
      <c r="F48" s="9">
        <f>Annuity!R40</f>
        <v>56230.249652678431</v>
      </c>
      <c r="G48" s="9">
        <f t="shared" si="0"/>
        <v>61115.549976098802</v>
      </c>
      <c r="H48" s="9">
        <f>Capital!L40</f>
        <v>414871.77604628383</v>
      </c>
      <c r="I48" s="11">
        <f t="shared" si="1"/>
        <v>-0.85268809905911591</v>
      </c>
      <c r="J48" s="30">
        <f>(1/(1+Inputs!$B$6))^(A48+1)</f>
        <v>0.35538339780838712</v>
      </c>
      <c r="K48" s="9">
        <f>SUMPRODUCT(Annuity!R40:R84, J48:J92)</f>
        <v>68268.544286956138</v>
      </c>
      <c r="L48" s="9">
        <f>SUMPRODUCT(Term!AA40:AA59, J48:J67)</f>
        <v>0</v>
      </c>
    </row>
    <row r="49" spans="1:12" x14ac:dyDescent="0.3">
      <c r="A49" s="6">
        <v>35</v>
      </c>
      <c r="B49" s="6"/>
      <c r="C49" s="9">
        <v>0</v>
      </c>
      <c r="D49" s="9">
        <f>Annuity!Q41</f>
        <v>1404479.5888622645</v>
      </c>
      <c r="E49" s="9">
        <v>0</v>
      </c>
      <c r="F49" s="9">
        <f>Annuity!R41</f>
        <v>43702.736840075151</v>
      </c>
      <c r="G49" s="9">
        <f t="shared" si="0"/>
        <v>45415.528017310382</v>
      </c>
      <c r="H49" s="9">
        <f>Capital!L41</f>
        <v>320454.98128290637</v>
      </c>
      <c r="I49" s="11">
        <f t="shared" si="1"/>
        <v>-0.85827797765697289</v>
      </c>
      <c r="J49" s="30">
        <f>(1/(1+Inputs!$B$6))^(A49+1)</f>
        <v>0.34503242505668652</v>
      </c>
      <c r="K49" s="9">
        <f>SUMPRODUCT(Annuity!R41:R85, J49:J93)</f>
        <v>48285.247105773378</v>
      </c>
      <c r="L49" s="9">
        <f>SUMPRODUCT(Term!AA41:AA60, J49:J68)</f>
        <v>0</v>
      </c>
    </row>
    <row r="50" spans="1:12" x14ac:dyDescent="0.3">
      <c r="A50" s="6">
        <v>36</v>
      </c>
      <c r="B50" s="6"/>
      <c r="C50" s="9">
        <v>0</v>
      </c>
      <c r="D50" s="9">
        <f>Annuity!Q42</f>
        <v>1012182.9446526535</v>
      </c>
      <c r="E50" s="9">
        <v>0</v>
      </c>
      <c r="F50" s="9">
        <f>Annuity!R42</f>
        <v>33110.764352322331</v>
      </c>
      <c r="G50" s="9">
        <f t="shared" si="0"/>
        <v>32829.3697192482</v>
      </c>
      <c r="H50" s="9">
        <f>Capital!L42</f>
        <v>240206.11914007206</v>
      </c>
      <c r="I50" s="11">
        <f t="shared" si="1"/>
        <v>-0.86332833719317403</v>
      </c>
      <c r="J50" s="30">
        <f>(1/(1+Inputs!$B$6))^(A50+1)</f>
        <v>0.33498293694823933</v>
      </c>
      <c r="K50" s="9">
        <f>SUMPRODUCT(Annuity!R42:R86, J50:J94)</f>
        <v>33206.38583222805</v>
      </c>
      <c r="L50" s="9">
        <f>SUMPRODUCT(Term!AA42:AA61, J50:J69)</f>
        <v>0</v>
      </c>
    </row>
    <row r="51" spans="1:12" x14ac:dyDescent="0.3">
      <c r="A51" s="6">
        <v>37</v>
      </c>
      <c r="B51" s="6"/>
      <c r="C51" s="9">
        <v>0</v>
      </c>
      <c r="D51" s="9">
        <f>Annuity!Q43</f>
        <v>707135.52936649369</v>
      </c>
      <c r="E51" s="9">
        <v>0</v>
      </c>
      <c r="F51" s="9">
        <f>Annuity!R43</f>
        <v>24377.523987611257</v>
      </c>
      <c r="G51" s="9">
        <f t="shared" si="0"/>
        <v>23011.917486559931</v>
      </c>
      <c r="H51" s="9">
        <f>Capital!L43</f>
        <v>173936.39604036161</v>
      </c>
      <c r="I51" s="11">
        <f t="shared" si="1"/>
        <v>-0.86769923943221139</v>
      </c>
      <c r="J51" s="30">
        <f>(1/(1+Inputs!$B$6))^(A51+1)</f>
        <v>0.32522615237693137</v>
      </c>
      <c r="K51" s="9">
        <f>SUMPRODUCT(Annuity!R43:R87, J51:J95)</f>
        <v>22114.844744886046</v>
      </c>
      <c r="L51" s="9">
        <f>SUMPRODUCT(Term!AA43:AA62, J51:J70)</f>
        <v>0</v>
      </c>
    </row>
    <row r="52" spans="1:12" x14ac:dyDescent="0.3">
      <c r="A52" s="6">
        <v>38</v>
      </c>
      <c r="B52" s="6"/>
      <c r="C52" s="9">
        <v>0</v>
      </c>
      <c r="D52" s="9">
        <f>Annuity!Q44</f>
        <v>477073.47072271683</v>
      </c>
      <c r="E52" s="9">
        <v>0</v>
      </c>
      <c r="F52" s="9">
        <f>Annuity!R44</f>
        <v>17373.934298968517</v>
      </c>
      <c r="G52" s="9">
        <f t="shared" si="0"/>
        <v>15582.119400506997</v>
      </c>
      <c r="H52" s="9">
        <f>Capital!L44</f>
        <v>120947.33217391348</v>
      </c>
      <c r="I52" s="11">
        <f t="shared" si="1"/>
        <v>-0.87116607600652951</v>
      </c>
      <c r="J52" s="30">
        <f>(1/(1+Inputs!$B$6))^(A52+1)</f>
        <v>0.31575354599702077</v>
      </c>
      <c r="K52" s="9">
        <f>SUMPRODUCT(Annuity!R44:R88, J52:J96)</f>
        <v>14186.63641391889</v>
      </c>
      <c r="L52" s="9">
        <f>SUMPRODUCT(Term!AA44:AA63, J52:J71)</f>
        <v>0</v>
      </c>
    </row>
    <row r="53" spans="1:12" x14ac:dyDescent="0.3">
      <c r="A53" s="6">
        <v>39</v>
      </c>
      <c r="B53" s="6"/>
      <c r="C53" s="9">
        <v>0</v>
      </c>
      <c r="D53" s="9">
        <f>Annuity!Q45</f>
        <v>309312.98345671402</v>
      </c>
      <c r="E53" s="9">
        <v>0</v>
      </c>
      <c r="F53" s="9">
        <f>Annuity!R45</f>
        <v>11926.665329683661</v>
      </c>
      <c r="G53" s="9">
        <f t="shared" si="0"/>
        <v>10143.429361211265</v>
      </c>
      <c r="H53" s="9">
        <f>Capital!L45</f>
        <v>80096.880430849633</v>
      </c>
      <c r="I53" s="11">
        <f t="shared" si="1"/>
        <v>-0.87336049410852601</v>
      </c>
      <c r="J53" s="30">
        <f>(1/(1+Inputs!$B$6))^(A53+1)</f>
        <v>0.30655684077380652</v>
      </c>
      <c r="K53" s="9">
        <f>SUMPRODUCT(Annuity!R45:R89, J53:J97)</f>
        <v>8700.7550511003155</v>
      </c>
      <c r="L53" s="9">
        <f>SUMPRODUCT(Term!AA45:AA64, J53:J72)</f>
        <v>0</v>
      </c>
    </row>
    <row r="54" spans="1:12" x14ac:dyDescent="0.3">
      <c r="A54" s="6">
        <v>40</v>
      </c>
      <c r="B54" s="6"/>
      <c r="C54" s="9">
        <v>0</v>
      </c>
      <c r="D54" s="9">
        <f>Annuity!Q46</f>
        <v>191428.50395729285</v>
      </c>
      <c r="E54" s="9">
        <v>0</v>
      </c>
      <c r="F54" s="9">
        <f>Annuity!R46</f>
        <v>7830.0052880920948</v>
      </c>
      <c r="G54" s="9">
        <f t="shared" si="0"/>
        <v>6305.1680201028094</v>
      </c>
      <c r="H54" s="9">
        <f>Capital!L46</f>
        <v>49903.800453380594</v>
      </c>
      <c r="I54" s="11">
        <f t="shared" si="1"/>
        <v>-0.87365355017413937</v>
      </c>
      <c r="J54" s="30">
        <f>(1/(1+Inputs!$B$6))^(A54+1)</f>
        <v>0.2976280007512685</v>
      </c>
      <c r="K54" s="9">
        <f>SUMPRODUCT(Annuity!R46:R90, J54:J98)</f>
        <v>5044.5542066660037</v>
      </c>
      <c r="L54" s="9">
        <f>SUMPRODUCT(Term!AA46:AA65, J54:J73)</f>
        <v>0</v>
      </c>
    </row>
    <row r="55" spans="1:12" x14ac:dyDescent="0.3">
      <c r="A55" s="6">
        <v>41</v>
      </c>
      <c r="B55" s="6"/>
      <c r="C55" s="9">
        <v>0</v>
      </c>
      <c r="D55" s="9">
        <f>Annuity!Q47</f>
        <v>111878.90635182436</v>
      </c>
      <c r="E55" s="9">
        <v>0</v>
      </c>
      <c r="F55" s="9">
        <f>Annuity!R47</f>
        <v>4860.472345292691</v>
      </c>
      <c r="G55" s="9">
        <f t="shared" si="0"/>
        <v>3702.4727765723169</v>
      </c>
      <c r="H55" s="9">
        <f>Capital!L47</f>
        <v>28679.111465623577</v>
      </c>
      <c r="I55" s="11">
        <f t="shared" si="1"/>
        <v>-0.87090001790988847</v>
      </c>
      <c r="J55" s="30">
        <f>(1/(1+Inputs!$B$6))^(A55+1)</f>
        <v>0.28895922403035773</v>
      </c>
      <c r="K55" s="9">
        <f>SUMPRODUCT(Annuity!R47:R91, J55:J99)</f>
        <v>2714.1253868992926</v>
      </c>
      <c r="L55" s="9">
        <f>SUMPRODUCT(Term!AA47:AA66, J55:J74)</f>
        <v>0</v>
      </c>
    </row>
    <row r="56" spans="1:12" x14ac:dyDescent="0.3">
      <c r="A56" s="6">
        <v>42</v>
      </c>
      <c r="B56" s="6"/>
      <c r="C56" s="9">
        <v>0</v>
      </c>
      <c r="D56" s="9">
        <f>Annuity!Q48</f>
        <v>60508.5643152802</v>
      </c>
      <c r="E56" s="9">
        <v>0</v>
      </c>
      <c r="F56" s="9">
        <f>Annuity!R48</f>
        <v>2792.5022089625877</v>
      </c>
      <c r="G56" s="9">
        <f t="shared" si="0"/>
        <v>2012.5061212344422</v>
      </c>
      <c r="H56" s="9">
        <f>Capital!L48</f>
        <v>14668.1696211901</v>
      </c>
      <c r="I56" s="11">
        <f t="shared" si="1"/>
        <v>-0.86279773324088693</v>
      </c>
      <c r="J56" s="30">
        <f>(1/(1+Inputs!$B$6))^(A56+1)</f>
        <v>0.28054293595180363</v>
      </c>
      <c r="K56" s="9">
        <f>SUMPRODUCT(Annuity!R48:R92, J56:J100)</f>
        <v>1309.6470695825039</v>
      </c>
      <c r="L56" s="9">
        <f>SUMPRODUCT(Term!AA48:AA67, J56:J75)</f>
        <v>0</v>
      </c>
    </row>
    <row r="57" spans="1:12" x14ac:dyDescent="0.3">
      <c r="A57" s="6">
        <v>43</v>
      </c>
      <c r="B57" s="6"/>
      <c r="C57" s="9">
        <v>0</v>
      </c>
      <c r="D57" s="9">
        <f>Annuity!Q49</f>
        <v>28867.728692977838</v>
      </c>
      <c r="E57" s="9">
        <v>0</v>
      </c>
      <c r="F57" s="9">
        <f>Annuity!R49</f>
        <v>1413.2202290410185</v>
      </c>
      <c r="G57" s="9">
        <f t="shared" si="0"/>
        <v>965.11052058860287</v>
      </c>
      <c r="H57" s="9">
        <f>Capital!L49</f>
        <v>6184.3825343165972</v>
      </c>
      <c r="I57" s="11">
        <f t="shared" si="1"/>
        <v>-0.84394391594742257</v>
      </c>
      <c r="J57" s="30">
        <f>(1/(1+Inputs!$B$6))^(A57+1)</f>
        <v>0.27237178247747929</v>
      </c>
      <c r="K57" s="9">
        <f>SUMPRODUCT(Annuity!R49:R93, J57:J101)</f>
        <v>526.23030122824264</v>
      </c>
      <c r="L57" s="9">
        <f>SUMPRODUCT(Term!AA49:AA68, J57:J76)</f>
        <v>0</v>
      </c>
    </row>
    <row r="58" spans="1:12" x14ac:dyDescent="0.3">
      <c r="A58" s="6">
        <v>44</v>
      </c>
      <c r="B58" s="6"/>
      <c r="C58" s="9">
        <v>0</v>
      </c>
      <c r="D58" s="9">
        <f>Annuity!Q50</f>
        <v>10327.326145308196</v>
      </c>
      <c r="E58" s="9">
        <v>0</v>
      </c>
      <c r="F58" s="9">
        <f>Annuity!R50</f>
        <v>534.37348296340735</v>
      </c>
      <c r="G58" s="9">
        <f t="shared" si="0"/>
        <v>347.03419136034597</v>
      </c>
      <c r="H58" s="9">
        <f>Capital!L50</f>
        <v>1716.9135954646829</v>
      </c>
      <c r="I58" s="11">
        <f t="shared" si="1"/>
        <v>-0.79787323469448035</v>
      </c>
      <c r="J58" s="30">
        <f>(1/(1+Inputs!$B$6))^(A58+1)</f>
        <v>0.26443862376454297</v>
      </c>
      <c r="K58" s="9">
        <f>SUMPRODUCT(Annuity!R50:R94, J58:J102)</f>
        <v>141.30898841110888</v>
      </c>
      <c r="L58" s="9">
        <f>SUMPRODUCT(Term!AA50:AA69, J58:J77)</f>
        <v>0</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A6C15-0D6E-42F9-8F0A-CD86C747C475}">
  <dimension ref="A1:Q50"/>
  <sheetViews>
    <sheetView topLeftCell="H4" workbookViewId="0">
      <selection activeCell="L18" sqref="L18"/>
    </sheetView>
  </sheetViews>
  <sheetFormatPr defaultRowHeight="14.4" x14ac:dyDescent="0.3"/>
  <cols>
    <col min="1" max="1" width="7.44140625" customWidth="1"/>
    <col min="2" max="8" width="16" customWidth="1"/>
    <col min="9" max="10" width="5.5546875" customWidth="1"/>
    <col min="11" max="11" width="37" customWidth="1"/>
    <col min="12" max="14" width="16" customWidth="1"/>
    <col min="15" max="15" width="5.5546875" customWidth="1"/>
    <col min="16" max="17" width="16" customWidth="1"/>
  </cols>
  <sheetData>
    <row r="1" spans="1:17" ht="17.399999999999999" x14ac:dyDescent="0.3">
      <c r="A1" s="40" t="s">
        <v>236</v>
      </c>
      <c r="B1" s="38"/>
      <c r="C1" s="38"/>
      <c r="D1" s="38"/>
      <c r="E1" s="38"/>
      <c r="F1" s="38"/>
      <c r="G1" s="38"/>
      <c r="H1" s="38"/>
      <c r="I1" s="38"/>
      <c r="J1" s="38"/>
      <c r="K1" s="38"/>
      <c r="L1" s="38"/>
      <c r="M1" s="38"/>
      <c r="N1" s="38"/>
      <c r="O1" s="38"/>
      <c r="P1" s="38"/>
      <c r="Q1" s="38"/>
    </row>
    <row r="2" spans="1:17" x14ac:dyDescent="0.3">
      <c r="A2" s="38" t="s">
        <v>237</v>
      </c>
      <c r="B2" s="38"/>
      <c r="C2" s="38"/>
      <c r="D2" s="38"/>
      <c r="E2" s="38"/>
      <c r="F2" s="38"/>
      <c r="G2" s="38"/>
      <c r="H2" s="38"/>
      <c r="I2" s="38"/>
      <c r="J2" s="38"/>
      <c r="K2" s="38"/>
      <c r="L2" s="38"/>
      <c r="M2" s="38"/>
      <c r="N2" s="38"/>
      <c r="O2" s="38"/>
      <c r="P2" s="38"/>
      <c r="Q2" s="38"/>
    </row>
    <row r="3" spans="1:17" x14ac:dyDescent="0.3">
      <c r="A3" s="38"/>
      <c r="B3" s="38"/>
      <c r="C3" s="38"/>
      <c r="D3" s="38"/>
      <c r="E3" s="38"/>
      <c r="F3" s="38"/>
      <c r="G3" s="38"/>
      <c r="H3" s="38"/>
      <c r="I3" s="38"/>
      <c r="J3" s="38"/>
      <c r="K3" s="38"/>
      <c r="L3" s="38"/>
      <c r="M3" s="38"/>
      <c r="N3" s="38"/>
      <c r="O3" s="38"/>
      <c r="P3" s="38"/>
      <c r="Q3" s="38"/>
    </row>
    <row r="4" spans="1:17" x14ac:dyDescent="0.3">
      <c r="A4" s="38"/>
      <c r="B4" s="38"/>
      <c r="C4" s="38"/>
      <c r="D4" s="38"/>
      <c r="E4" s="38"/>
      <c r="F4" s="38"/>
      <c r="G4" s="38"/>
      <c r="H4" s="38"/>
      <c r="I4" s="38"/>
      <c r="J4" s="38"/>
      <c r="K4" s="38"/>
      <c r="L4" s="38"/>
      <c r="M4" s="38"/>
      <c r="N4" s="38"/>
      <c r="O4" s="38"/>
      <c r="P4" s="38"/>
      <c r="Q4" s="38"/>
    </row>
    <row r="5" spans="1:17" ht="57.75" customHeight="1" x14ac:dyDescent="0.3">
      <c r="A5" s="41" t="s">
        <v>96</v>
      </c>
      <c r="B5" s="41" t="s">
        <v>221</v>
      </c>
      <c r="C5" s="41" t="s">
        <v>222</v>
      </c>
      <c r="D5" s="41" t="s">
        <v>223</v>
      </c>
      <c r="E5" s="41" t="s">
        <v>224</v>
      </c>
      <c r="F5" s="41" t="s">
        <v>228</v>
      </c>
      <c r="G5" s="41" t="s">
        <v>229</v>
      </c>
      <c r="H5" s="41" t="s">
        <v>230</v>
      </c>
      <c r="I5" s="38"/>
      <c r="J5" s="38"/>
      <c r="K5" s="41" t="s">
        <v>225</v>
      </c>
      <c r="L5" s="41" t="s">
        <v>226</v>
      </c>
      <c r="M5" s="41" t="s">
        <v>227</v>
      </c>
      <c r="N5" s="41" t="s">
        <v>239</v>
      </c>
      <c r="O5" s="38"/>
      <c r="P5" s="41" t="s">
        <v>238</v>
      </c>
      <c r="Q5" s="41" t="s">
        <v>240</v>
      </c>
    </row>
    <row r="6" spans="1:17" ht="14.55" customHeight="1" x14ac:dyDescent="0.3">
      <c r="A6" s="42">
        <v>0</v>
      </c>
      <c r="B6" s="45">
        <f>Annuity!B6</f>
        <v>65</v>
      </c>
      <c r="C6" s="46">
        <f>Capital!R6</f>
        <v>1836049.0951646494</v>
      </c>
      <c r="D6" s="46">
        <f>Annuity!Q6</f>
        <v>60347853.854437813</v>
      </c>
      <c r="E6" s="44">
        <f>IF(D6=0,0,C6/D6)</f>
        <v>3.0424430661499514E-2</v>
      </c>
      <c r="F6" s="44">
        <f>INDEX($M$6:$M$13,MATCH(B6,$K$6:$K$13,1))</f>
        <v>3.4655115795393189E-2</v>
      </c>
      <c r="G6" s="43">
        <f>F6*D6</f>
        <v>2091361.8633290075</v>
      </c>
      <c r="H6" s="47">
        <f>'Factor method'!J14</f>
        <v>0.970873786407767</v>
      </c>
      <c r="I6" s="38"/>
      <c r="J6" s="38"/>
      <c r="K6" s="48">
        <v>65</v>
      </c>
      <c r="L6" s="48">
        <v>69</v>
      </c>
      <c r="M6" s="44">
        <f>SUMIFS($C$6:$C$50,$B$6:$B$50,"&gt;="&amp;K6,$B$6:$B$50,"&lt;="&amp;L6)/SUMIFS($D$6:$D$50,$B$6:$B$50,"&gt;="&amp;K6,$B$6:$B$50,"&lt;="&amp;L6)</f>
        <v>3.4655115795393189E-2</v>
      </c>
      <c r="N6" s="44">
        <f>SUMIFS($P$6:$P$50,$B$6:$B$50,"&gt;="&amp;K6,$B$6:$B$50,"&lt;="&amp;L6)/SUMIFS($D$6:$D$50,$B$6:$B$50,"&gt;="&amp;K6,$B$6:$B$50,"&lt;="&amp;L6)</f>
        <v>5.4632038583700589E-2</v>
      </c>
      <c r="O6" s="38"/>
      <c r="P6" s="46">
        <f>Annuity!O6</f>
        <v>3036146.3502394473</v>
      </c>
      <c r="Q6" s="43">
        <f>INDEX($N$6:$N$13,MATCH(B6,$K$6:$K$13,1))*D6</f>
        <v>3296926.2802191707</v>
      </c>
    </row>
    <row r="7" spans="1:17" ht="14.55" customHeight="1" x14ac:dyDescent="0.3">
      <c r="A7" s="42">
        <v>1</v>
      </c>
      <c r="B7" s="45">
        <f>Annuity!B7</f>
        <v>66</v>
      </c>
      <c r="C7" s="46">
        <f>Capital!R7</f>
        <v>1901860.0755210198</v>
      </c>
      <c r="D7" s="46">
        <f>Annuity!Q7</f>
        <v>58573380.247618534</v>
      </c>
      <c r="E7" s="44">
        <f t="shared" ref="E7:E50" si="0">IF(D7=0,0,C7/D7)</f>
        <v>3.2469699844552599E-2</v>
      </c>
      <c r="F7" s="44">
        <f t="shared" ref="F7:F50" si="1">INDEX($M$6:$M$13,MATCH(B7,$K$6:$K$13,1))</f>
        <v>3.4655115795393189E-2</v>
      </c>
      <c r="G7" s="43">
        <f t="shared" ref="G7:G50" si="2">F7*D7</f>
        <v>2029867.2750088165</v>
      </c>
      <c r="H7" s="47">
        <f>'Factor method'!J15</f>
        <v>0.94259590913375435</v>
      </c>
      <c r="I7" s="38"/>
      <c r="J7" s="38"/>
      <c r="K7" s="48">
        <v>70</v>
      </c>
      <c r="L7" s="48">
        <v>74</v>
      </c>
      <c r="M7" s="44">
        <f t="shared" ref="M7:M13" si="3">SUMIFS($C$6:$C$50,$B$6:$B$50,"&gt;="&amp;K7,$B$6:$B$50,"&lt;="&amp;L7)/SUMIFS($D$6:$D$50,$B$6:$B$50,"&gt;="&amp;K7,$B$6:$B$50,"&lt;="&amp;L7)</f>
        <v>4.807779748307419E-2</v>
      </c>
      <c r="N7" s="44">
        <f t="shared" ref="N7:N13" si="4">SUMIFS($P$6:$P$50,$B$6:$B$50,"&gt;="&amp;K7,$B$6:$B$50,"&lt;="&amp;L7)/SUMIFS($D$6:$D$50,$B$6:$B$50,"&gt;="&amp;K7,$B$6:$B$50,"&lt;="&amp;L7)</f>
        <v>6.739766090044351E-2</v>
      </c>
      <c r="O7" s="38"/>
      <c r="P7" s="46">
        <f>Annuity!O7</f>
        <v>3071728.4787629764</v>
      </c>
      <c r="Q7" s="43">
        <f t="shared" ref="Q7:Q50" si="5">INDEX($N$6:$N$13,MATCH(B7,$K$6:$K$13,1))*D7</f>
        <v>3199983.1696656616</v>
      </c>
    </row>
    <row r="8" spans="1:17" ht="14.55" customHeight="1" x14ac:dyDescent="0.3">
      <c r="A8" s="42">
        <v>2</v>
      </c>
      <c r="B8" s="45">
        <f>Annuity!B8</f>
        <v>67</v>
      </c>
      <c r="C8" s="46">
        <f>Capital!R8</f>
        <v>1963796.4746399436</v>
      </c>
      <c r="D8" s="46">
        <f>Annuity!Q8</f>
        <v>56762484.613315366</v>
      </c>
      <c r="E8" s="44">
        <f t="shared" si="0"/>
        <v>3.459673212013125E-2</v>
      </c>
      <c r="F8" s="44">
        <f t="shared" si="1"/>
        <v>3.4655115795393189E-2</v>
      </c>
      <c r="G8" s="43">
        <f t="shared" si="2"/>
        <v>1967110.4771086683</v>
      </c>
      <c r="H8" s="47">
        <f>'Factor method'!J16</f>
        <v>0.91514165935315961</v>
      </c>
      <c r="I8" s="38"/>
      <c r="J8" s="38"/>
      <c r="K8" s="48">
        <v>75</v>
      </c>
      <c r="L8" s="48">
        <v>79</v>
      </c>
      <c r="M8" s="44">
        <f t="shared" si="3"/>
        <v>6.7591791531061332E-2</v>
      </c>
      <c r="N8" s="44">
        <f t="shared" si="4"/>
        <v>8.3384000044978271E-2</v>
      </c>
      <c r="O8" s="38"/>
      <c r="P8" s="46">
        <f>Annuity!O8</f>
        <v>3103455.2954910365</v>
      </c>
      <c r="Q8" s="43">
        <f t="shared" si="5"/>
        <v>3101050.2495013559</v>
      </c>
    </row>
    <row r="9" spans="1:17" ht="14.55" customHeight="1" x14ac:dyDescent="0.3">
      <c r="A9" s="42">
        <v>3</v>
      </c>
      <c r="B9" s="45">
        <f>Annuity!B9</f>
        <v>68</v>
      </c>
      <c r="C9" s="46">
        <f>Capital!R9</f>
        <v>2030539.6692231647</v>
      </c>
      <c r="D9" s="46">
        <f>Annuity!Q9</f>
        <v>54915990.583838694</v>
      </c>
      <c r="E9" s="44">
        <f t="shared" si="0"/>
        <v>3.6975380897904357E-2</v>
      </c>
      <c r="F9" s="44">
        <f t="shared" si="1"/>
        <v>3.4655115795393189E-2</v>
      </c>
      <c r="G9" s="43">
        <f t="shared" si="2"/>
        <v>1903120.012701652</v>
      </c>
      <c r="H9" s="47">
        <f>'Factor method'!J17</f>
        <v>0.88848704791568889</v>
      </c>
      <c r="I9" s="38"/>
      <c r="J9" s="38"/>
      <c r="K9" s="48">
        <v>80</v>
      </c>
      <c r="L9" s="48">
        <v>84</v>
      </c>
      <c r="M9" s="44">
        <f t="shared" si="3"/>
        <v>9.7135677082575894E-2</v>
      </c>
      <c r="N9" s="44">
        <f t="shared" si="4"/>
        <v>0.10331815660076676</v>
      </c>
      <c r="O9" s="38"/>
      <c r="P9" s="46">
        <f>Annuity!O9</f>
        <v>3130839.9544187849</v>
      </c>
      <c r="Q9" s="43">
        <f t="shared" si="5"/>
        <v>3000172.5164384139</v>
      </c>
    </row>
    <row r="10" spans="1:17" ht="14.55" customHeight="1" x14ac:dyDescent="0.3">
      <c r="A10" s="42">
        <v>4</v>
      </c>
      <c r="B10" s="45">
        <f>Annuity!B10</f>
        <v>69</v>
      </c>
      <c r="C10" s="46">
        <f>Capital!R10</f>
        <v>2097147.0244585683</v>
      </c>
      <c r="D10" s="46">
        <f>Annuity!Q10</f>
        <v>53034960.890349217</v>
      </c>
      <c r="E10" s="44">
        <f t="shared" si="0"/>
        <v>3.9542727839367305E-2</v>
      </c>
      <c r="F10" s="44">
        <f t="shared" si="1"/>
        <v>3.4655115795393189E-2</v>
      </c>
      <c r="G10" s="43">
        <f t="shared" si="2"/>
        <v>1837932.7108592012</v>
      </c>
      <c r="H10" s="47">
        <f>'Factor method'!J18</f>
        <v>0.862608784384164</v>
      </c>
      <c r="I10" s="38"/>
      <c r="J10" s="38"/>
      <c r="K10" s="48">
        <v>85</v>
      </c>
      <c r="L10" s="48">
        <v>89</v>
      </c>
      <c r="M10" s="44">
        <f t="shared" si="3"/>
        <v>0.12805601017991231</v>
      </c>
      <c r="N10" s="44">
        <f t="shared" si="4"/>
        <v>0.12806937398434448</v>
      </c>
      <c r="O10" s="38"/>
      <c r="P10" s="46">
        <f>Annuity!O10</f>
        <v>3153370.1665589698</v>
      </c>
      <c r="Q10" s="43">
        <f t="shared" si="5"/>
        <v>2897408.0296466099</v>
      </c>
    </row>
    <row r="11" spans="1:17" ht="14.55" customHeight="1" x14ac:dyDescent="0.3">
      <c r="A11" s="42">
        <v>5</v>
      </c>
      <c r="B11" s="45">
        <f>Annuity!B11</f>
        <v>70</v>
      </c>
      <c r="C11" s="46">
        <f>Capital!R11</f>
        <v>2158593.3894282104</v>
      </c>
      <c r="D11" s="46">
        <f>Annuity!Q11</f>
        <v>51120725.303012684</v>
      </c>
      <c r="E11" s="44">
        <f t="shared" si="0"/>
        <v>4.2225406166156228E-2</v>
      </c>
      <c r="F11" s="44">
        <f t="shared" si="1"/>
        <v>4.807779748307419E-2</v>
      </c>
      <c r="G11" s="43">
        <f t="shared" si="2"/>
        <v>2457771.8783061104</v>
      </c>
      <c r="H11" s="47">
        <f>'Factor method'!J19</f>
        <v>0.83748425668365434</v>
      </c>
      <c r="I11" s="38"/>
      <c r="J11" s="38"/>
      <c r="K11" s="48">
        <v>90</v>
      </c>
      <c r="L11" s="48">
        <v>94</v>
      </c>
      <c r="M11" s="44">
        <f t="shared" si="3"/>
        <v>0.15870964835636545</v>
      </c>
      <c r="N11" s="44">
        <f t="shared" si="4"/>
        <v>0.15872423682362299</v>
      </c>
      <c r="O11" s="38"/>
      <c r="P11" s="46">
        <f>Annuity!O11</f>
        <v>3170510.760259157</v>
      </c>
      <c r="Q11" s="43">
        <f t="shared" si="5"/>
        <v>3445417.3089571712</v>
      </c>
    </row>
    <row r="12" spans="1:17" ht="14.55" customHeight="1" x14ac:dyDescent="0.3">
      <c r="A12" s="42">
        <v>6</v>
      </c>
      <c r="B12" s="45">
        <f>Annuity!B12</f>
        <v>71</v>
      </c>
      <c r="C12" s="46">
        <f>Capital!R12</f>
        <v>2216155.448959047</v>
      </c>
      <c r="D12" s="46">
        <f>Annuity!Q12</f>
        <v>49174910.560595974</v>
      </c>
      <c r="E12" s="44">
        <f t="shared" si="0"/>
        <v>4.5066791656452145E-2</v>
      </c>
      <c r="F12" s="44">
        <f t="shared" si="1"/>
        <v>4.807779748307419E-2</v>
      </c>
      <c r="G12" s="43">
        <f t="shared" si="2"/>
        <v>2364221.3911806196</v>
      </c>
      <c r="H12" s="47">
        <f>'Factor method'!J20</f>
        <v>0.81309151134335378</v>
      </c>
      <c r="I12" s="38"/>
      <c r="J12" s="38"/>
      <c r="K12" s="48">
        <v>95</v>
      </c>
      <c r="L12" s="48">
        <v>99</v>
      </c>
      <c r="M12" s="44">
        <f t="shared" si="3"/>
        <v>0.19636551339303759</v>
      </c>
      <c r="N12" s="44">
        <f t="shared" si="4"/>
        <v>0.19638244320176215</v>
      </c>
      <c r="O12" s="38"/>
      <c r="P12" s="46">
        <f>Annuity!O12</f>
        <v>3181707.2241483075</v>
      </c>
      <c r="Q12" s="43">
        <f t="shared" si="5"/>
        <v>3314273.9467726857</v>
      </c>
    </row>
    <row r="13" spans="1:17" ht="14.55" customHeight="1" x14ac:dyDescent="0.3">
      <c r="A13" s="42">
        <v>7</v>
      </c>
      <c r="B13" s="45">
        <f>Annuity!B13</f>
        <v>72</v>
      </c>
      <c r="C13" s="46">
        <f>Capital!R13</f>
        <v>2270637.9019158916</v>
      </c>
      <c r="D13" s="46">
        <f>Annuity!Q13</f>
        <v>47199472.158499874</v>
      </c>
      <c r="E13" s="44">
        <f t="shared" si="0"/>
        <v>4.8107273197693715E-2</v>
      </c>
      <c r="F13" s="44">
        <f t="shared" si="1"/>
        <v>4.807779748307419E-2</v>
      </c>
      <c r="G13" s="43">
        <f t="shared" si="2"/>
        <v>2269246.6637443556</v>
      </c>
      <c r="H13" s="47">
        <f>'Factor method'!J21</f>
        <v>0.78940923431393561</v>
      </c>
      <c r="I13" s="38"/>
      <c r="J13" s="38"/>
      <c r="K13" s="48">
        <v>100</v>
      </c>
      <c r="L13" s="48">
        <v>109</v>
      </c>
      <c r="M13" s="44">
        <f t="shared" si="3"/>
        <v>0.2394736877393023</v>
      </c>
      <c r="N13" s="44">
        <f t="shared" si="4"/>
        <v>0.23949673498198945</v>
      </c>
      <c r="O13" s="38"/>
      <c r="P13" s="46">
        <f>Annuity!O13</f>
        <v>3186390.3895375887</v>
      </c>
      <c r="Q13" s="43">
        <f t="shared" si="5"/>
        <v>3181134.0192184988</v>
      </c>
    </row>
    <row r="14" spans="1:17" ht="14.55" customHeight="1" x14ac:dyDescent="0.3">
      <c r="A14" s="42">
        <v>8</v>
      </c>
      <c r="B14" s="45">
        <f>Annuity!B14</f>
        <v>73</v>
      </c>
      <c r="C14" s="46">
        <f>Capital!R14</f>
        <v>2322478.009571251</v>
      </c>
      <c r="D14" s="46">
        <f>Annuity!Q14</f>
        <v>45196727.765024155</v>
      </c>
      <c r="E14" s="44">
        <f t="shared" si="0"/>
        <v>5.1385976915092488E-2</v>
      </c>
      <c r="F14" s="44">
        <f t="shared" si="1"/>
        <v>4.807779748307419E-2</v>
      </c>
      <c r="G14" s="43">
        <f t="shared" si="2"/>
        <v>2172959.1243844675</v>
      </c>
      <c r="H14" s="47">
        <f>'Factor method'!J22</f>
        <v>0.76641673234362684</v>
      </c>
      <c r="I14" s="38"/>
      <c r="J14" s="38"/>
      <c r="K14" s="38"/>
      <c r="L14" s="38"/>
      <c r="M14" s="38"/>
      <c r="N14" s="38"/>
      <c r="O14" s="38"/>
      <c r="P14" s="46">
        <f>Annuity!O14</f>
        <v>3183982.4167763051</v>
      </c>
      <c r="Q14" s="43">
        <f t="shared" si="5"/>
        <v>3046153.7317167581</v>
      </c>
    </row>
    <row r="15" spans="1:17" ht="14.55" customHeight="1" x14ac:dyDescent="0.3">
      <c r="A15" s="42">
        <v>9</v>
      </c>
      <c r="B15" s="45">
        <f>Annuity!B15</f>
        <v>74</v>
      </c>
      <c r="C15" s="46">
        <f>Capital!R15</f>
        <v>2371823.5894101928</v>
      </c>
      <c r="D15" s="46">
        <f>Annuity!Q15</f>
        <v>43169391.909014083</v>
      </c>
      <c r="E15" s="44">
        <f t="shared" si="0"/>
        <v>5.4942251547326959E-2</v>
      </c>
      <c r="F15" s="44">
        <f t="shared" si="1"/>
        <v>4.807779748307419E-2</v>
      </c>
      <c r="G15" s="43">
        <f t="shared" si="2"/>
        <v>2075489.2816690407</v>
      </c>
      <c r="H15" s="47">
        <f>'Factor method'!J23</f>
        <v>0.74409391489672505</v>
      </c>
      <c r="I15" s="38"/>
      <c r="J15" s="38"/>
      <c r="K15" s="39"/>
      <c r="L15" s="38"/>
      <c r="M15" s="38"/>
      <c r="N15" s="38"/>
      <c r="O15" s="38"/>
      <c r="P15" s="46">
        <f>Annuity!O15</f>
        <v>3173904.2531058351</v>
      </c>
      <c r="Q15" s="43">
        <f t="shared" si="5"/>
        <v>2909516.0371620809</v>
      </c>
    </row>
    <row r="16" spans="1:17" ht="14.55" customHeight="1" x14ac:dyDescent="0.3">
      <c r="A16" s="42">
        <v>10</v>
      </c>
      <c r="B16" s="45">
        <f>Annuity!B16</f>
        <v>75</v>
      </c>
      <c r="C16" s="46">
        <f>Capital!R16</f>
        <v>2418583.0374855758</v>
      </c>
      <c r="D16" s="46">
        <f>Annuity!Q16</f>
        <v>41120611.423040144</v>
      </c>
      <c r="E16" s="44">
        <f t="shared" si="0"/>
        <v>5.8816806311650024E-2</v>
      </c>
      <c r="F16" s="44">
        <f t="shared" si="1"/>
        <v>6.7591791531061332E-2</v>
      </c>
      <c r="G16" s="43">
        <f t="shared" si="2"/>
        <v>2779415.7949359086</v>
      </c>
      <c r="H16" s="47">
        <f>'Factor method'!J24</f>
        <v>0.72242127659876221</v>
      </c>
      <c r="I16" s="38"/>
      <c r="J16" s="38"/>
      <c r="K16" s="39" t="s">
        <v>231</v>
      </c>
      <c r="L16" s="38"/>
      <c r="M16" s="38"/>
      <c r="N16" s="38"/>
      <c r="O16" s="38"/>
      <c r="P16" s="46">
        <f>Annuity!O16</f>
        <v>3155584.7259161836</v>
      </c>
      <c r="Q16" s="43">
        <f t="shared" si="5"/>
        <v>3428801.0647483133</v>
      </c>
    </row>
    <row r="17" spans="1:17" ht="14.55" customHeight="1" x14ac:dyDescent="0.3">
      <c r="A17" s="42">
        <v>11</v>
      </c>
      <c r="B17" s="45">
        <f>Annuity!B17</f>
        <v>76</v>
      </c>
      <c r="C17" s="46">
        <f>Capital!R17</f>
        <v>2462446.1275246749</v>
      </c>
      <c r="D17" s="46">
        <f>Annuity!Q17</f>
        <v>39054000.929872587</v>
      </c>
      <c r="E17" s="44">
        <f t="shared" si="0"/>
        <v>6.3052339552773923E-2</v>
      </c>
      <c r="F17" s="44">
        <f t="shared" si="1"/>
        <v>6.7591791531061332E-2</v>
      </c>
      <c r="G17" s="43">
        <f t="shared" si="2"/>
        <v>2639729.8893058235</v>
      </c>
      <c r="H17" s="47">
        <f>'Factor method'!J25</f>
        <v>0.70137988019297304</v>
      </c>
      <c r="I17" s="38"/>
      <c r="J17" s="38"/>
      <c r="K17" s="38" t="s">
        <v>232</v>
      </c>
      <c r="L17" s="50">
        <f>Inputs!B5*SUMPRODUCT('Age Bands'!G6:G50,'Age Bands'!H6:H50)</f>
        <v>2657940.3830906409</v>
      </c>
      <c r="M17" s="38"/>
      <c r="N17" s="38"/>
      <c r="O17" s="38"/>
      <c r="P17" s="46">
        <f>Annuity!O17</f>
        <v>3128471.4224692127</v>
      </c>
      <c r="Q17" s="43">
        <f t="shared" si="5"/>
        <v>3256478.8152930774</v>
      </c>
    </row>
    <row r="18" spans="1:17" ht="14.55" customHeight="1" x14ac:dyDescent="0.3">
      <c r="A18" s="42">
        <v>12</v>
      </c>
      <c r="B18" s="45">
        <f>Annuity!B18</f>
        <v>77</v>
      </c>
      <c r="C18" s="46">
        <f>Capital!R18</f>
        <v>2502870.4169355398</v>
      </c>
      <c r="D18" s="46">
        <f>Annuity!Q18</f>
        <v>36973677.421415024</v>
      </c>
      <c r="E18" s="44">
        <f t="shared" si="0"/>
        <v>6.7693304845189303E-2</v>
      </c>
      <c r="F18" s="44">
        <f t="shared" si="1"/>
        <v>6.7591791531061332E-2</v>
      </c>
      <c r="G18" s="43">
        <f t="shared" si="2"/>
        <v>2499117.0964049934</v>
      </c>
      <c r="H18" s="47">
        <f>'Factor method'!J26</f>
        <v>0.6809513399931777</v>
      </c>
      <c r="I18" s="38"/>
      <c r="J18" s="38"/>
      <c r="K18" s="38" t="s">
        <v>233</v>
      </c>
      <c r="L18" s="52">
        <f>'Factor method'!H9-'Factor method'!H6+'Age Bands'!L17</f>
        <v>4045074.7450801544</v>
      </c>
      <c r="M18" s="38"/>
      <c r="N18" s="38"/>
      <c r="O18" s="38"/>
      <c r="P18" s="46">
        <f>Annuity!O18</f>
        <v>3092043.4820757522</v>
      </c>
      <c r="Q18" s="43">
        <f t="shared" si="5"/>
        <v>3083013.1197702824</v>
      </c>
    </row>
    <row r="19" spans="1:17" ht="14.55" customHeight="1" x14ac:dyDescent="0.3">
      <c r="A19" s="42">
        <v>13</v>
      </c>
      <c r="B19" s="45">
        <f>Annuity!B19</f>
        <v>78</v>
      </c>
      <c r="C19" s="46">
        <f>Capital!R19</f>
        <v>2539020.9609078732</v>
      </c>
      <c r="D19" s="46">
        <f>Annuity!Q19</f>
        <v>34884292.694453694</v>
      </c>
      <c r="E19" s="44">
        <f t="shared" si="0"/>
        <v>7.2784074573240695E-2</v>
      </c>
      <c r="F19" s="44">
        <f t="shared" si="1"/>
        <v>6.7591791531061332E-2</v>
      </c>
      <c r="G19" s="43">
        <f t="shared" si="2"/>
        <v>2357891.8395120399</v>
      </c>
      <c r="H19" s="47">
        <f>'Factor method'!J27</f>
        <v>0.66111780581861912</v>
      </c>
      <c r="I19" s="38"/>
      <c r="J19" s="38"/>
      <c r="K19" s="38" t="s">
        <v>234</v>
      </c>
      <c r="L19" s="46">
        <f>RA!B6</f>
        <v>3900670.8314773766</v>
      </c>
      <c r="M19" s="38"/>
      <c r="N19" s="38"/>
      <c r="O19" s="38"/>
      <c r="P19" s="46">
        <f>Annuity!O19</f>
        <v>3045826.3858557036</v>
      </c>
      <c r="Q19" s="43">
        <f t="shared" si="5"/>
        <v>2908791.8636033619</v>
      </c>
    </row>
    <row r="20" spans="1:17" ht="14.55" customHeight="1" x14ac:dyDescent="0.3">
      <c r="A20" s="42">
        <v>14</v>
      </c>
      <c r="B20" s="45">
        <f>Annuity!B20</f>
        <v>79</v>
      </c>
      <c r="C20" s="46">
        <f>Capital!R20</f>
        <v>2569640.7091080551</v>
      </c>
      <c r="D20" s="46">
        <f>Annuity!Q20</f>
        <v>32791062.074222714</v>
      </c>
      <c r="E20" s="44">
        <f t="shared" si="0"/>
        <v>7.8364058574609818E-2</v>
      </c>
      <c r="F20" s="44">
        <f t="shared" si="1"/>
        <v>6.7591791531061332E-2</v>
      </c>
      <c r="G20" s="43">
        <f t="shared" si="2"/>
        <v>2216406.6318029533</v>
      </c>
      <c r="H20" s="47">
        <f>'Factor method'!J28</f>
        <v>0.64186194739671765</v>
      </c>
      <c r="I20" s="38"/>
      <c r="J20" s="38"/>
      <c r="K20" s="38" t="s">
        <v>235</v>
      </c>
      <c r="L20" s="51">
        <f>L18/L19-1</f>
        <v>3.7020276727140589E-2</v>
      </c>
      <c r="M20" s="38"/>
      <c r="N20" s="38"/>
      <c r="O20" s="38"/>
      <c r="P20" s="46">
        <f>Annuity!O20</f>
        <v>2989408.768570052</v>
      </c>
      <c r="Q20" s="43">
        <f t="shared" si="5"/>
        <v>2734249.9214718719</v>
      </c>
    </row>
    <row r="21" spans="1:17" ht="14.55" customHeight="1" x14ac:dyDescent="0.3">
      <c r="A21" s="42">
        <v>15</v>
      </c>
      <c r="B21" s="45">
        <f>Annuity!B21</f>
        <v>80</v>
      </c>
      <c r="C21" s="46">
        <f>Capital!R21</f>
        <v>2592816.3661518116</v>
      </c>
      <c r="D21" s="46">
        <f>Annuity!Q21</f>
        <v>30699787.475422211</v>
      </c>
      <c r="E21" s="44">
        <f t="shared" si="0"/>
        <v>8.4457143823148007E-2</v>
      </c>
      <c r="F21" s="44">
        <f t="shared" si="1"/>
        <v>9.7135677082575894E-2</v>
      </c>
      <c r="G21" s="43">
        <f t="shared" si="2"/>
        <v>2982044.6427163198</v>
      </c>
      <c r="H21" s="47">
        <f>'Factor method'!J29</f>
        <v>0.62316693922011412</v>
      </c>
      <c r="I21" s="38"/>
      <c r="J21" s="38"/>
      <c r="K21" s="38" t="s">
        <v>242</v>
      </c>
      <c r="L21" s="43">
        <f>Inputs!$B$5*SUMPRODUCT(P6:P50,H6:H50)</f>
        <v>3327078.6144533539</v>
      </c>
      <c r="M21" s="38"/>
      <c r="N21" s="38"/>
      <c r="O21" s="38"/>
      <c r="P21" s="46">
        <f>Annuity!O21</f>
        <v>2922461.1922741299</v>
      </c>
      <c r="Q21" s="43">
        <f t="shared" si="5"/>
        <v>3171845.4499959303</v>
      </c>
    </row>
    <row r="22" spans="1:17" ht="14.55" customHeight="1" x14ac:dyDescent="0.3">
      <c r="A22" s="42">
        <v>16</v>
      </c>
      <c r="B22" s="45">
        <f>Annuity!B22</f>
        <v>81</v>
      </c>
      <c r="C22" s="46">
        <f>Capital!R22</f>
        <v>2605595.6549263652</v>
      </c>
      <c r="D22" s="46">
        <f>Annuity!Q22</f>
        <v>28616872.42603277</v>
      </c>
      <c r="E22" s="44">
        <f t="shared" si="0"/>
        <v>9.1051028083560054E-2</v>
      </c>
      <c r="F22" s="44">
        <f t="shared" si="1"/>
        <v>9.7135677082575894E-2</v>
      </c>
      <c r="G22" s="43">
        <f t="shared" si="2"/>
        <v>2779719.2790883896</v>
      </c>
      <c r="H22" s="47">
        <f>'Factor method'!J30</f>
        <v>0.60501644584477099</v>
      </c>
      <c r="I22" s="38"/>
      <c r="J22" s="38"/>
      <c r="K22" s="38" t="s">
        <v>241</v>
      </c>
      <c r="L22" s="50">
        <f>Inputs!$B$5*SUMPRODUCT(Q6:Q50,H6:H50)</f>
        <v>3335403.8210703302</v>
      </c>
      <c r="M22" s="38"/>
      <c r="N22" s="38"/>
      <c r="O22" s="38"/>
      <c r="P22" s="46">
        <f>Annuity!O22</f>
        <v>2844756.7083344217</v>
      </c>
      <c r="Q22" s="43">
        <f t="shared" si="5"/>
        <v>2956642.506737018</v>
      </c>
    </row>
    <row r="23" spans="1:17" ht="14.55" customHeight="1" x14ac:dyDescent="0.3">
      <c r="A23" s="42">
        <v>17</v>
      </c>
      <c r="B23" s="45">
        <f>Annuity!B23</f>
        <v>82</v>
      </c>
      <c r="C23" s="46">
        <f>Capital!R23</f>
        <v>2603428.0902015809</v>
      </c>
      <c r="D23" s="46">
        <f>Annuity!Q23</f>
        <v>26549326.223823566</v>
      </c>
      <c r="E23" s="44">
        <f t="shared" si="0"/>
        <v>9.8060043718376594E-2</v>
      </c>
      <c r="F23" s="44">
        <f t="shared" si="1"/>
        <v>9.7135677082575894E-2</v>
      </c>
      <c r="G23" s="43">
        <f t="shared" si="2"/>
        <v>2578886.7788372901</v>
      </c>
      <c r="H23" s="47">
        <f>'Factor method'!J31</f>
        <v>0.58739460761628248</v>
      </c>
      <c r="I23" s="38"/>
      <c r="J23" s="38"/>
      <c r="K23" s="38" t="s">
        <v>243</v>
      </c>
      <c r="L23" s="49">
        <f>L22/L21-1</f>
        <v>2.5022572598105697E-3</v>
      </c>
      <c r="M23" s="38"/>
      <c r="N23" s="38"/>
      <c r="O23" s="38"/>
      <c r="P23" s="46">
        <f>Annuity!O23</f>
        <v>2756192.8886868181</v>
      </c>
      <c r="Q23" s="43">
        <f t="shared" si="5"/>
        <v>2743027.444437847</v>
      </c>
    </row>
    <row r="24" spans="1:17" ht="14.55" customHeight="1" x14ac:dyDescent="0.3">
      <c r="A24" s="42">
        <v>18</v>
      </c>
      <c r="B24" s="45">
        <f>Annuity!B24</f>
        <v>83</v>
      </c>
      <c r="C24" s="46">
        <f>Capital!R24</f>
        <v>2579498.636178724</v>
      </c>
      <c r="D24" s="46">
        <f>Annuity!Q24</f>
        <v>24504753.930049215</v>
      </c>
      <c r="E24" s="44">
        <f t="shared" si="0"/>
        <v>0.10526523316831134</v>
      </c>
      <c r="F24" s="44">
        <f t="shared" si="1"/>
        <v>9.7135677082575894E-2</v>
      </c>
      <c r="G24" s="43">
        <f t="shared" si="2"/>
        <v>2380285.8647372429</v>
      </c>
      <c r="H24" s="47">
        <f>'Factor method'!J32</f>
        <v>0.57028602681192475</v>
      </c>
      <c r="I24" s="38"/>
      <c r="J24" s="38"/>
      <c r="K24" s="38"/>
      <c r="L24" s="38"/>
      <c r="M24" s="38"/>
      <c r="N24" s="38"/>
      <c r="O24" s="38"/>
      <c r="P24" s="46">
        <f>Annuity!O24</f>
        <v>2656814.8261413663</v>
      </c>
      <c r="Q24" s="43">
        <f t="shared" si="5"/>
        <v>2531786.0040080794</v>
      </c>
    </row>
    <row r="25" spans="1:17" ht="14.55" customHeight="1" x14ac:dyDescent="0.3">
      <c r="A25" s="42">
        <v>19</v>
      </c>
      <c r="B25" s="45">
        <f>Annuity!B25</f>
        <v>84</v>
      </c>
      <c r="C25" s="46">
        <f>Capital!R25</f>
        <v>2524308.2366920593</v>
      </c>
      <c r="D25" s="46">
        <f>Annuity!Q25</f>
        <v>22491328.463321034</v>
      </c>
      <c r="E25" s="44">
        <f t="shared" si="0"/>
        <v>0.11223473263523376</v>
      </c>
      <c r="F25" s="44">
        <f t="shared" si="1"/>
        <v>9.7135677082575894E-2</v>
      </c>
      <c r="G25" s="43">
        <f t="shared" si="2"/>
        <v>2184710.4187713</v>
      </c>
      <c r="H25" s="47">
        <f>'Factor method'!J33</f>
        <v>0.55367575418633475</v>
      </c>
      <c r="I25" s="38"/>
      <c r="J25" s="38"/>
      <c r="K25" s="38"/>
      <c r="L25" s="38"/>
      <c r="M25" s="38"/>
      <c r="N25" s="38"/>
      <c r="O25" s="38"/>
      <c r="P25" s="46">
        <f>Annuity!O25</f>
        <v>2546838.3860748224</v>
      </c>
      <c r="Q25" s="43">
        <f t="shared" si="5"/>
        <v>2323762.5963326856</v>
      </c>
    </row>
    <row r="26" spans="1:17" ht="14.55" customHeight="1" x14ac:dyDescent="0.3">
      <c r="A26" s="42">
        <v>20</v>
      </c>
      <c r="B26" s="45">
        <f>Annuity!B26</f>
        <v>85</v>
      </c>
      <c r="C26" s="46">
        <f>Capital!R26</f>
        <v>2426404.642517603</v>
      </c>
      <c r="D26" s="46">
        <f>Annuity!Q26</f>
        <v>20517740.689109266</v>
      </c>
      <c r="E26" s="44">
        <f t="shared" si="0"/>
        <v>0.11825886091861609</v>
      </c>
      <c r="F26" s="44">
        <f t="shared" si="1"/>
        <v>0.12805601017991231</v>
      </c>
      <c r="G26" s="43">
        <f t="shared" si="2"/>
        <v>2627420.0105533772</v>
      </c>
      <c r="H26" s="47">
        <f>'Factor method'!J34</f>
        <v>0.53754927590906287</v>
      </c>
      <c r="I26" s="38"/>
      <c r="J26" s="38"/>
      <c r="K26" s="38"/>
      <c r="L26" s="38"/>
      <c r="M26" s="38"/>
      <c r="N26" s="38"/>
      <c r="O26" s="38"/>
      <c r="P26" s="46">
        <f>Annuity!O26</f>
        <v>2426672.7402463187</v>
      </c>
      <c r="Q26" s="43">
        <f t="shared" si="5"/>
        <v>2627694.2056273366</v>
      </c>
    </row>
    <row r="27" spans="1:17" ht="14.55" customHeight="1" x14ac:dyDescent="0.3">
      <c r="A27" s="42">
        <v>21</v>
      </c>
      <c r="B27" s="45">
        <f>Annuity!B27</f>
        <v>86</v>
      </c>
      <c r="C27" s="46">
        <f>Capital!R27</f>
        <v>2296695.2925232491</v>
      </c>
      <c r="D27" s="46">
        <f>Annuity!Q27</f>
        <v>18593123.176673021</v>
      </c>
      <c r="E27" s="44">
        <f t="shared" si="0"/>
        <v>0.12352391100192832</v>
      </c>
      <c r="F27" s="44">
        <f t="shared" si="1"/>
        <v>0.12805601017991231</v>
      </c>
      <c r="G27" s="43">
        <f t="shared" si="2"/>
        <v>2380961.1707884036</v>
      </c>
      <c r="H27" s="47">
        <f>'Factor method'!J35</f>
        <v>0.52189250088258532</v>
      </c>
      <c r="I27" s="38"/>
      <c r="J27" s="38"/>
      <c r="K27" s="38"/>
      <c r="L27" s="38"/>
      <c r="M27" s="38"/>
      <c r="N27" s="38"/>
      <c r="O27" s="38"/>
      <c r="P27" s="46">
        <f>Annuity!O27</f>
        <v>2296940.9348039972</v>
      </c>
      <c r="Q27" s="43">
        <f t="shared" si="5"/>
        <v>2381209.6456503202</v>
      </c>
    </row>
    <row r="28" spans="1:17" ht="14.55" customHeight="1" x14ac:dyDescent="0.3">
      <c r="A28" s="42">
        <v>22</v>
      </c>
      <c r="B28" s="45">
        <f>Annuity!B28</f>
        <v>87</v>
      </c>
      <c r="C28" s="46">
        <f>Capital!R28</f>
        <v>2158273.1755862231</v>
      </c>
      <c r="D28" s="46">
        <f>Annuity!Q28</f>
        <v>16726943.307960838</v>
      </c>
      <c r="E28" s="44">
        <f t="shared" si="0"/>
        <v>0.12902974176752535</v>
      </c>
      <c r="F28" s="44">
        <f t="shared" si="1"/>
        <v>0.12805601017991231</v>
      </c>
      <c r="G28" s="43">
        <f t="shared" si="2"/>
        <v>2141985.6225230489</v>
      </c>
      <c r="H28" s="47">
        <f>'Factor method'!J36</f>
        <v>0.50669174842969444</v>
      </c>
      <c r="I28" s="38"/>
      <c r="J28" s="38"/>
      <c r="K28" s="38"/>
      <c r="L28" s="38"/>
      <c r="M28" s="38"/>
      <c r="N28" s="38"/>
      <c r="O28" s="38"/>
      <c r="P28" s="46">
        <f>Annuity!O28</f>
        <v>2158496.9526530392</v>
      </c>
      <c r="Q28" s="43">
        <f t="shared" si="5"/>
        <v>2142209.1581221647</v>
      </c>
    </row>
    <row r="29" spans="1:17" ht="14.55" customHeight="1" x14ac:dyDescent="0.3">
      <c r="A29" s="42">
        <v>23</v>
      </c>
      <c r="B29" s="45">
        <f>Annuity!B29</f>
        <v>88</v>
      </c>
      <c r="C29" s="46">
        <f>Capital!R29</f>
        <v>2012234.8679889806</v>
      </c>
      <c r="D29" s="46">
        <f>Annuity!Q29</f>
        <v>14928861.788375258</v>
      </c>
      <c r="E29" s="44">
        <f t="shared" si="0"/>
        <v>0.13478823077830748</v>
      </c>
      <c r="F29" s="44">
        <f t="shared" si="1"/>
        <v>0.12805601017991231</v>
      </c>
      <c r="G29" s="43">
        <f t="shared" si="2"/>
        <v>1911730.4771466858</v>
      </c>
      <c r="H29" s="47">
        <f>'Factor method'!J37</f>
        <v>0.49193373633950915</v>
      </c>
      <c r="I29" s="38"/>
      <c r="J29" s="38"/>
      <c r="K29" s="38"/>
      <c r="L29" s="38"/>
      <c r="M29" s="38"/>
      <c r="N29" s="38"/>
      <c r="O29" s="38"/>
      <c r="P29" s="46">
        <f>Annuity!O29</f>
        <v>2012437.4479136032</v>
      </c>
      <c r="Q29" s="43">
        <f t="shared" si="5"/>
        <v>1911929.9835360209</v>
      </c>
    </row>
    <row r="30" spans="1:17" ht="14.55" customHeight="1" x14ac:dyDescent="0.3">
      <c r="A30" s="42">
        <v>24</v>
      </c>
      <c r="B30" s="45">
        <f>Annuity!B30</f>
        <v>89</v>
      </c>
      <c r="C30" s="46">
        <f>Capital!R30</f>
        <v>1859923.9593219755</v>
      </c>
      <c r="D30" s="46">
        <f>Annuity!Q30</f>
        <v>13208553.46461392</v>
      </c>
      <c r="E30" s="44">
        <f t="shared" si="0"/>
        <v>0.14081208546452595</v>
      </c>
      <c r="F30" s="44">
        <f t="shared" si="1"/>
        <v>0.12805601017991231</v>
      </c>
      <c r="G30" s="43">
        <f t="shared" si="2"/>
        <v>1691434.6569265162</v>
      </c>
      <c r="H30" s="47">
        <f>'Factor method'!J38</f>
        <v>0.47760556926165937</v>
      </c>
      <c r="I30" s="38"/>
      <c r="J30" s="38"/>
      <c r="K30" s="38"/>
      <c r="L30" s="38"/>
      <c r="M30" s="38"/>
      <c r="N30" s="38"/>
      <c r="O30" s="38"/>
      <c r="P30" s="46">
        <f>Annuity!O30</f>
        <v>1860106.0907707312</v>
      </c>
      <c r="Q30" s="43">
        <f t="shared" si="5"/>
        <v>1691611.173451849</v>
      </c>
    </row>
    <row r="31" spans="1:17" ht="14.55" customHeight="1" x14ac:dyDescent="0.3">
      <c r="A31" s="42">
        <v>25</v>
      </c>
      <c r="B31" s="45">
        <f>Annuity!B31</f>
        <v>90</v>
      </c>
      <c r="C31" s="46">
        <f>Capital!R31</f>
        <v>1702925.7963821024</v>
      </c>
      <c r="D31" s="46">
        <f>Annuity!Q31</f>
        <v>11575488.850360861</v>
      </c>
      <c r="E31" s="44">
        <f t="shared" si="0"/>
        <v>0.14711480598324919</v>
      </c>
      <c r="F31" s="44">
        <f t="shared" si="1"/>
        <v>0.15870964835636545</v>
      </c>
      <c r="G31" s="43">
        <f t="shared" si="2"/>
        <v>1837141.7649938012</v>
      </c>
      <c r="H31" s="47">
        <f>'Factor method'!J39</f>
        <v>0.46369472743850421</v>
      </c>
      <c r="I31" s="38"/>
      <c r="J31" s="38"/>
      <c r="K31" s="38"/>
      <c r="L31" s="38"/>
      <c r="M31" s="38"/>
      <c r="N31" s="38"/>
      <c r="O31" s="38"/>
      <c r="P31" s="46">
        <f>Annuity!O31</f>
        <v>1703088.3105109017</v>
      </c>
      <c r="Q31" s="43">
        <f t="shared" si="5"/>
        <v>1837310.6336338848</v>
      </c>
    </row>
    <row r="32" spans="1:17" ht="14.55" customHeight="1" x14ac:dyDescent="0.3">
      <c r="A32" s="42">
        <v>26</v>
      </c>
      <c r="B32" s="45">
        <f>Annuity!B32</f>
        <v>91</v>
      </c>
      <c r="C32" s="46">
        <f>Capital!R32</f>
        <v>1543050.4102472649</v>
      </c>
      <c r="D32" s="46">
        <f>Annuity!Q32</f>
        <v>10038677.042792726</v>
      </c>
      <c r="E32" s="44">
        <f t="shared" si="0"/>
        <v>0.15371053413408681</v>
      </c>
      <c r="F32" s="44">
        <f t="shared" si="1"/>
        <v>0.15870964835636545</v>
      </c>
      <c r="G32" s="43">
        <f t="shared" si="2"/>
        <v>1593234.9034247522</v>
      </c>
      <c r="H32" s="47">
        <f>'Factor method'!J40</f>
        <v>0.45018905576553808</v>
      </c>
      <c r="I32" s="38"/>
      <c r="J32" s="38"/>
      <c r="K32" s="38"/>
      <c r="L32" s="38"/>
      <c r="M32" s="38"/>
      <c r="N32" s="38"/>
      <c r="O32" s="38"/>
      <c r="P32" s="46">
        <f>Annuity!O32</f>
        <v>1543194.2213714062</v>
      </c>
      <c r="Q32" s="43">
        <f t="shared" si="5"/>
        <v>1593381.3523361001</v>
      </c>
    </row>
    <row r="33" spans="1:17" ht="14.55" customHeight="1" x14ac:dyDescent="0.3">
      <c r="A33" s="42">
        <v>27</v>
      </c>
      <c r="B33" s="45">
        <f>Annuity!B33</f>
        <v>92</v>
      </c>
      <c r="C33" s="46">
        <f>Capital!R33</f>
        <v>1382301.6241776997</v>
      </c>
      <c r="D33" s="46">
        <f>Annuity!Q33</f>
        <v>8606373.8959308621</v>
      </c>
      <c r="E33" s="44">
        <f t="shared" si="0"/>
        <v>0.16061370803693051</v>
      </c>
      <c r="F33" s="44">
        <f t="shared" si="1"/>
        <v>0.15870964835636545</v>
      </c>
      <c r="G33" s="43">
        <f t="shared" si="2"/>
        <v>1365914.57464659</v>
      </c>
      <c r="H33" s="47">
        <f>'Factor method'!J41</f>
        <v>0.43707675317042538</v>
      </c>
      <c r="I33" s="38"/>
      <c r="J33" s="38"/>
      <c r="K33" s="38"/>
      <c r="L33" s="38"/>
      <c r="M33" s="38"/>
      <c r="N33" s="38"/>
      <c r="O33" s="38"/>
      <c r="P33" s="46">
        <f>Annuity!O33</f>
        <v>1382427.7288014698</v>
      </c>
      <c r="Q33" s="43">
        <f t="shared" si="5"/>
        <v>1366040.1284503769</v>
      </c>
    </row>
    <row r="34" spans="1:17" ht="14.55" customHeight="1" x14ac:dyDescent="0.3">
      <c r="A34" s="42">
        <v>28</v>
      </c>
      <c r="B34" s="45">
        <f>Annuity!B34</f>
        <v>93</v>
      </c>
      <c r="C34" s="46">
        <f>Capital!R34</f>
        <v>1222830.842542087</v>
      </c>
      <c r="D34" s="46">
        <f>Annuity!Q34</f>
        <v>7285763.4409073731</v>
      </c>
      <c r="E34" s="44">
        <f t="shared" si="0"/>
        <v>0.16783839503712941</v>
      </c>
      <c r="F34" s="44">
        <f t="shared" si="1"/>
        <v>0.15870964835636545</v>
      </c>
      <c r="G34" s="43">
        <f t="shared" si="2"/>
        <v>1156320.9537140722</v>
      </c>
      <c r="H34" s="47">
        <f>'Factor method'!J42</f>
        <v>0.42434636230138384</v>
      </c>
      <c r="I34" s="38"/>
      <c r="J34" s="38"/>
      <c r="K34" s="38"/>
      <c r="L34" s="38"/>
      <c r="M34" s="38"/>
      <c r="N34" s="38"/>
      <c r="O34" s="38"/>
      <c r="P34" s="46">
        <f>Annuity!O34</f>
        <v>1222940.3162966797</v>
      </c>
      <c r="Q34" s="43">
        <f t="shared" si="5"/>
        <v>1156427.2418354761</v>
      </c>
    </row>
    <row r="35" spans="1:17" ht="14.55" customHeight="1" x14ac:dyDescent="0.3">
      <c r="A35" s="42">
        <v>29</v>
      </c>
      <c r="B35" s="45">
        <f>Annuity!B35</f>
        <v>94</v>
      </c>
      <c r="C35" s="46">
        <f>Capital!R35</f>
        <v>1066874.8804978174</v>
      </c>
      <c r="D35" s="46">
        <f>Annuity!Q35</f>
        <v>6082625.5181419058</v>
      </c>
      <c r="E35" s="44">
        <f t="shared" si="0"/>
        <v>0.17539710069537895</v>
      </c>
      <c r="F35" s="44">
        <f t="shared" si="1"/>
        <v>0.15870964835636545</v>
      </c>
      <c r="G35" s="43">
        <f t="shared" si="2"/>
        <v>965371.35706775705</v>
      </c>
      <c r="H35" s="47">
        <f>'Factor method'!J43</f>
        <v>0.41198675951590663</v>
      </c>
      <c r="I35" s="38"/>
      <c r="J35" s="38"/>
      <c r="K35" s="38"/>
      <c r="L35" s="38"/>
      <c r="M35" s="38"/>
      <c r="N35" s="38"/>
      <c r="O35" s="38"/>
      <c r="P35" s="46">
        <f>Annuity!O35</f>
        <v>1066968.872526349</v>
      </c>
      <c r="Q35" s="43">
        <f t="shared" si="5"/>
        <v>965460.09325096838</v>
      </c>
    </row>
    <row r="36" spans="1:17" ht="14.55" customHeight="1" x14ac:dyDescent="0.3">
      <c r="A36" s="42">
        <v>30</v>
      </c>
      <c r="B36" s="45">
        <f>Annuity!B36</f>
        <v>95</v>
      </c>
      <c r="C36" s="46">
        <f>Capital!R36</f>
        <v>916678.45528669364</v>
      </c>
      <c r="D36" s="46">
        <f>Annuity!Q36</f>
        <v>5001008.1258203816</v>
      </c>
      <c r="E36" s="44">
        <f t="shared" si="0"/>
        <v>0.18329873342013792</v>
      </c>
      <c r="F36" s="44">
        <f t="shared" si="1"/>
        <v>0.19636551339303759</v>
      </c>
      <c r="G36" s="43">
        <f t="shared" si="2"/>
        <v>982025.52810947201</v>
      </c>
      <c r="H36" s="47">
        <f>'Factor method'!J44</f>
        <v>0.39998714516107442</v>
      </c>
      <c r="I36" s="38"/>
      <c r="J36" s="38"/>
      <c r="K36" s="38"/>
      <c r="L36" s="38"/>
      <c r="M36" s="38"/>
      <c r="N36" s="38"/>
      <c r="O36" s="38"/>
      <c r="P36" s="46">
        <f>Annuity!O36</f>
        <v>916758.17964596744</v>
      </c>
      <c r="Q36" s="43">
        <f t="shared" si="5"/>
        <v>982110.19422047213</v>
      </c>
    </row>
    <row r="37" spans="1:17" ht="14.55" customHeight="1" x14ac:dyDescent="0.3">
      <c r="A37" s="42">
        <v>31</v>
      </c>
      <c r="B37" s="45">
        <f>Annuity!B37</f>
        <v>96</v>
      </c>
      <c r="C37" s="46">
        <f>Capital!R37</f>
        <v>774403.62161533744</v>
      </c>
      <c r="D37" s="46">
        <f>Annuity!Q37</f>
        <v>4042928.5444914601</v>
      </c>
      <c r="E37" s="44">
        <f t="shared" si="0"/>
        <v>0.19154521607127387</v>
      </c>
      <c r="F37" s="44">
        <f t="shared" si="1"/>
        <v>0.19636551339303759</v>
      </c>
      <c r="G37" s="43">
        <f t="shared" si="2"/>
        <v>793891.73925043177</v>
      </c>
      <c r="H37" s="47">
        <f>'Factor method'!J45</f>
        <v>0.38833703413696541</v>
      </c>
      <c r="I37" s="38"/>
      <c r="J37" s="38"/>
      <c r="K37" s="38"/>
      <c r="L37" s="38"/>
      <c r="M37" s="38"/>
      <c r="N37" s="38"/>
      <c r="O37" s="38"/>
      <c r="P37" s="46">
        <f>Annuity!O37</f>
        <v>774470.34535062569</v>
      </c>
      <c r="Q37" s="43">
        <f t="shared" si="5"/>
        <v>793960.1852573771</v>
      </c>
    </row>
    <row r="38" spans="1:17" ht="14.55" customHeight="1" x14ac:dyDescent="0.3">
      <c r="A38" s="42">
        <v>32</v>
      </c>
      <c r="B38" s="45">
        <f>Annuity!B38</f>
        <v>97</v>
      </c>
      <c r="C38" s="46">
        <f>Capital!R38</f>
        <v>642030.42132794298</v>
      </c>
      <c r="D38" s="46">
        <f>Annuity!Q38</f>
        <v>3208132.0135462745</v>
      </c>
      <c r="E38" s="44">
        <f t="shared" si="0"/>
        <v>0.20012593578349711</v>
      </c>
      <c r="F38" s="44">
        <f t="shared" si="1"/>
        <v>0.19636551339303759</v>
      </c>
      <c r="G38" s="43">
        <f t="shared" si="2"/>
        <v>629966.48987265362</v>
      </c>
      <c r="H38" s="47">
        <f>'Factor method'!J46</f>
        <v>0.37702624673491786</v>
      </c>
      <c r="I38" s="38"/>
      <c r="J38" s="38"/>
      <c r="K38" s="38"/>
      <c r="L38" s="38"/>
      <c r="M38" s="38"/>
      <c r="N38" s="38"/>
      <c r="O38" s="38"/>
      <c r="P38" s="46">
        <f>Annuity!O38</f>
        <v>642085.44903371471</v>
      </c>
      <c r="Q38" s="43">
        <f t="shared" si="5"/>
        <v>630020.80293400609</v>
      </c>
    </row>
    <row r="39" spans="1:17" ht="14.55" customHeight="1" x14ac:dyDescent="0.3">
      <c r="A39" s="42">
        <v>33</v>
      </c>
      <c r="B39" s="45">
        <f>Annuity!B39</f>
        <v>98</v>
      </c>
      <c r="C39" s="46">
        <f>Capital!R39</f>
        <v>521255.15654862672</v>
      </c>
      <c r="D39" s="46">
        <f>Annuity!Q39</f>
        <v>2493939.4555149958</v>
      </c>
      <c r="E39" s="44">
        <f t="shared" si="0"/>
        <v>0.20900874533900346</v>
      </c>
      <c r="F39" s="44">
        <f t="shared" si="1"/>
        <v>0.19636551339303759</v>
      </c>
      <c r="G39" s="43">
        <f t="shared" si="2"/>
        <v>489723.7015533548</v>
      </c>
      <c r="H39" s="47">
        <f>'Factor method'!J47</f>
        <v>0.36604489974263871</v>
      </c>
      <c r="I39" s="38"/>
      <c r="J39" s="38"/>
      <c r="K39" s="38"/>
      <c r="L39" s="38"/>
      <c r="M39" s="38"/>
      <c r="N39" s="38"/>
      <c r="O39" s="38"/>
      <c r="P39" s="46">
        <f>Annuity!O39</f>
        <v>521299.81146473676</v>
      </c>
      <c r="Q39" s="43">
        <f t="shared" si="5"/>
        <v>489765.92347130732</v>
      </c>
    </row>
    <row r="40" spans="1:17" ht="14.55" customHeight="1" x14ac:dyDescent="0.3">
      <c r="A40" s="42">
        <v>34</v>
      </c>
      <c r="B40" s="45">
        <f>Annuity!B40</f>
        <v>99</v>
      </c>
      <c r="C40" s="46">
        <f>Capital!R40</f>
        <v>413394.6916534456</v>
      </c>
      <c r="D40" s="46">
        <f>Annuity!Q40</f>
        <v>1895215.107864907</v>
      </c>
      <c r="E40" s="44">
        <f t="shared" si="0"/>
        <v>0.21812547290168227</v>
      </c>
      <c r="F40" s="44">
        <f t="shared" si="1"/>
        <v>0.19636551339303759</v>
      </c>
      <c r="G40" s="43">
        <f t="shared" si="2"/>
        <v>372154.8876461336</v>
      </c>
      <c r="H40" s="47">
        <f>'Factor method'!J48</f>
        <v>0.35538339780838712</v>
      </c>
      <c r="I40" s="38"/>
      <c r="J40" s="38"/>
      <c r="K40" s="38"/>
      <c r="L40" s="38"/>
      <c r="M40" s="38"/>
      <c r="N40" s="38"/>
      <c r="O40" s="38"/>
      <c r="P40" s="46">
        <f>Annuity!O40</f>
        <v>413430.29366351932</v>
      </c>
      <c r="Q40" s="43">
        <f t="shared" si="5"/>
        <v>372186.97327540163</v>
      </c>
    </row>
    <row r="41" spans="1:17" ht="14.55" customHeight="1" x14ac:dyDescent="0.3">
      <c r="A41" s="42">
        <v>35</v>
      </c>
      <c r="B41" s="45">
        <f>Annuity!B41</f>
        <v>100</v>
      </c>
      <c r="C41" s="46">
        <f>Capital!R41</f>
        <v>319306.63260532659</v>
      </c>
      <c r="D41" s="46">
        <f>Annuity!Q41</f>
        <v>1404479.5888622645</v>
      </c>
      <c r="E41" s="44">
        <f t="shared" si="0"/>
        <v>0.2273487170176601</v>
      </c>
      <c r="F41" s="44">
        <f t="shared" si="1"/>
        <v>0.2394736877393023</v>
      </c>
      <c r="G41" s="43">
        <f t="shared" si="2"/>
        <v>336335.90649942559</v>
      </c>
      <c r="H41" s="47">
        <f>'Factor method'!J49</f>
        <v>0.34503242505668652</v>
      </c>
      <c r="I41" s="38"/>
      <c r="J41" s="38"/>
      <c r="K41" s="38"/>
      <c r="L41" s="38"/>
      <c r="M41" s="38"/>
      <c r="N41" s="38"/>
      <c r="O41" s="38"/>
      <c r="P41" s="46">
        <f>Annuity!O41</f>
        <v>319334.47388771048</v>
      </c>
      <c r="Q41" s="43">
        <f t="shared" si="5"/>
        <v>336368.2758813593</v>
      </c>
    </row>
    <row r="42" spans="1:17" ht="14.55" customHeight="1" x14ac:dyDescent="0.3">
      <c r="A42" s="42">
        <v>36</v>
      </c>
      <c r="B42" s="45">
        <f>Annuity!B42</f>
        <v>101</v>
      </c>
      <c r="C42" s="46">
        <f>Capital!R42</f>
        <v>239335.63540238654</v>
      </c>
      <c r="D42" s="46">
        <f>Annuity!Q42</f>
        <v>1012182.9446526535</v>
      </c>
      <c r="E42" s="44">
        <f t="shared" si="0"/>
        <v>0.23645491822085415</v>
      </c>
      <c r="F42" s="44">
        <f t="shared" si="1"/>
        <v>0.2394736877393023</v>
      </c>
      <c r="G42" s="43">
        <f t="shared" si="2"/>
        <v>242391.18242279705</v>
      </c>
      <c r="H42" s="47">
        <f>'Factor method'!J50</f>
        <v>0.33498293694823933</v>
      </c>
      <c r="I42" s="38"/>
      <c r="J42" s="38"/>
      <c r="K42" s="38"/>
      <c r="L42" s="38"/>
      <c r="M42" s="38"/>
      <c r="N42" s="38"/>
      <c r="O42" s="38"/>
      <c r="P42" s="46">
        <f>Annuity!O42</f>
        <v>239356.95489934375</v>
      </c>
      <c r="Q42" s="43">
        <f t="shared" si="5"/>
        <v>242414.51044876626</v>
      </c>
    </row>
    <row r="43" spans="1:17" ht="14.55" customHeight="1" x14ac:dyDescent="0.3">
      <c r="A43" s="42">
        <v>37</v>
      </c>
      <c r="B43" s="45">
        <f>Annuity!B43</f>
        <v>102</v>
      </c>
      <c r="C43" s="46">
        <f>Capital!R43</f>
        <v>173294.9838316424</v>
      </c>
      <c r="D43" s="46">
        <f>Annuity!Q43</f>
        <v>707135.52936649369</v>
      </c>
      <c r="E43" s="44">
        <f t="shared" si="0"/>
        <v>0.24506615300025067</v>
      </c>
      <c r="F43" s="44">
        <f t="shared" si="1"/>
        <v>0.2394736877393023</v>
      </c>
      <c r="G43" s="43">
        <f t="shared" si="2"/>
        <v>169340.35294887793</v>
      </c>
      <c r="H43" s="47">
        <f>'Factor method'!J51</f>
        <v>0.32522615237693137</v>
      </c>
      <c r="I43" s="38"/>
      <c r="J43" s="38"/>
      <c r="K43" s="38"/>
      <c r="L43" s="38"/>
      <c r="M43" s="38"/>
      <c r="N43" s="38"/>
      <c r="O43" s="38"/>
      <c r="P43" s="46">
        <f>Annuity!O43</f>
        <v>173310.94209064057</v>
      </c>
      <c r="Q43" s="43">
        <f t="shared" si="5"/>
        <v>169356.65047303596</v>
      </c>
    </row>
    <row r="44" spans="1:17" ht="14.55" customHeight="1" x14ac:dyDescent="0.3">
      <c r="A44" s="42">
        <v>38</v>
      </c>
      <c r="B44" s="45">
        <f>Annuity!B44</f>
        <v>103</v>
      </c>
      <c r="C44" s="46">
        <f>Capital!R44</f>
        <v>120489.62823030724</v>
      </c>
      <c r="D44" s="46">
        <f>Annuity!Q44</f>
        <v>477073.47072271683</v>
      </c>
      <c r="E44" s="44">
        <f t="shared" si="0"/>
        <v>0.25255990036037418</v>
      </c>
      <c r="F44" s="44">
        <f t="shared" si="1"/>
        <v>0.2394736877393023</v>
      </c>
      <c r="G44" s="43">
        <f t="shared" si="2"/>
        <v>114246.54335655707</v>
      </c>
      <c r="H44" s="47">
        <f>'Factor method'!J52</f>
        <v>0.31575354599702077</v>
      </c>
      <c r="I44" s="38"/>
      <c r="J44" s="38"/>
      <c r="K44" s="38"/>
      <c r="L44" s="38"/>
      <c r="M44" s="38"/>
      <c r="N44" s="38"/>
      <c r="O44" s="38"/>
      <c r="P44" s="46">
        <f>Annuity!O44</f>
        <v>120501.28445003359</v>
      </c>
      <c r="Q44" s="43">
        <f t="shared" si="5"/>
        <v>114257.53858461641</v>
      </c>
    </row>
    <row r="45" spans="1:17" ht="14.55" customHeight="1" x14ac:dyDescent="0.3">
      <c r="A45" s="42">
        <v>39</v>
      </c>
      <c r="B45" s="45">
        <f>Annuity!B45</f>
        <v>104</v>
      </c>
      <c r="C45" s="46">
        <f>Capital!R45</f>
        <v>79782.095574008141</v>
      </c>
      <c r="D45" s="46">
        <f>Annuity!Q45</f>
        <v>309312.98345671402</v>
      </c>
      <c r="E45" s="44">
        <f t="shared" si="0"/>
        <v>0.25793322570041111</v>
      </c>
      <c r="F45" s="44">
        <f t="shared" si="1"/>
        <v>0.2394736877393023</v>
      </c>
      <c r="G45" s="43">
        <f t="shared" si="2"/>
        <v>74072.320814025108</v>
      </c>
      <c r="H45" s="47">
        <f>'Factor method'!J53</f>
        <v>0.30655684077380652</v>
      </c>
      <c r="I45" s="38"/>
      <c r="J45" s="38"/>
      <c r="K45" s="38"/>
      <c r="L45" s="38"/>
      <c r="M45" s="38"/>
      <c r="N45" s="38"/>
      <c r="O45" s="38"/>
      <c r="P45" s="46">
        <f>Annuity!O45</f>
        <v>79790.388757875699</v>
      </c>
      <c r="Q45" s="43">
        <f t="shared" si="5"/>
        <v>74079.449625421126</v>
      </c>
    </row>
    <row r="46" spans="1:17" ht="14.55" customHeight="1" x14ac:dyDescent="0.3">
      <c r="A46" s="42">
        <v>40</v>
      </c>
      <c r="B46" s="45">
        <f>Annuity!B46</f>
        <v>105</v>
      </c>
      <c r="C46" s="46">
        <f>Capital!R46</f>
        <v>49696.555317625069</v>
      </c>
      <c r="D46" s="46">
        <f>Annuity!Q46</f>
        <v>191428.50395729285</v>
      </c>
      <c r="E46" s="44">
        <f t="shared" si="0"/>
        <v>0.25960896256448951</v>
      </c>
      <c r="F46" s="44">
        <f t="shared" si="1"/>
        <v>0.2394736877393023</v>
      </c>
      <c r="G46" s="43">
        <f t="shared" si="2"/>
        <v>45842.089781070543</v>
      </c>
      <c r="H46" s="47">
        <f>'Factor method'!J54</f>
        <v>0.2976280007512685</v>
      </c>
      <c r="I46" s="38"/>
      <c r="J46" s="38"/>
      <c r="K46" s="38"/>
      <c r="L46" s="38"/>
      <c r="M46" s="38"/>
      <c r="N46" s="38"/>
      <c r="O46" s="38"/>
      <c r="P46" s="46">
        <f>Annuity!O46</f>
        <v>49702.2911918514</v>
      </c>
      <c r="Q46" s="43">
        <f t="shared" si="5"/>
        <v>45846.501680258487</v>
      </c>
    </row>
    <row r="47" spans="1:17" ht="14.55" customHeight="1" x14ac:dyDescent="0.3">
      <c r="A47" s="42">
        <v>41</v>
      </c>
      <c r="B47" s="45">
        <f>Annuity!B47</f>
        <v>106</v>
      </c>
      <c r="C47" s="46">
        <f>Capital!R47</f>
        <v>28549.893436009872</v>
      </c>
      <c r="D47" s="46">
        <f>Annuity!Q47</f>
        <v>111878.90635182436</v>
      </c>
      <c r="E47" s="44">
        <f t="shared" si="0"/>
        <v>0.25518566785260965</v>
      </c>
      <c r="F47" s="44">
        <f t="shared" si="1"/>
        <v>0.2394736877393023</v>
      </c>
      <c r="G47" s="43">
        <f t="shared" si="2"/>
        <v>26792.054284311434</v>
      </c>
      <c r="H47" s="47">
        <f>'Factor method'!J55</f>
        <v>0.28895922403035773</v>
      </c>
      <c r="I47" s="38"/>
      <c r="J47" s="38"/>
      <c r="K47" s="38"/>
      <c r="L47" s="38"/>
      <c r="M47" s="38"/>
      <c r="N47" s="38"/>
      <c r="O47" s="38"/>
      <c r="P47" s="46">
        <f>Annuity!O47</f>
        <v>28553.738105938701</v>
      </c>
      <c r="Q47" s="43">
        <f t="shared" si="5"/>
        <v>26794.632784617697</v>
      </c>
    </row>
    <row r="48" spans="1:17" ht="14.55" customHeight="1" x14ac:dyDescent="0.3">
      <c r="A48" s="42">
        <v>42</v>
      </c>
      <c r="B48" s="45">
        <f>Annuity!B48</f>
        <v>107</v>
      </c>
      <c r="C48" s="46">
        <f>Capital!R48</f>
        <v>14593.384877515264</v>
      </c>
      <c r="D48" s="46">
        <f>Annuity!Q48</f>
        <v>60508.5643152802</v>
      </c>
      <c r="E48" s="44">
        <f t="shared" si="0"/>
        <v>0.24117883216459002</v>
      </c>
      <c r="F48" s="44">
        <f t="shared" si="1"/>
        <v>0.2394736877393023</v>
      </c>
      <c r="G48" s="43">
        <f t="shared" si="2"/>
        <v>14490.209036390901</v>
      </c>
      <c r="H48" s="47">
        <f>'Factor method'!J56</f>
        <v>0.28054293595180363</v>
      </c>
      <c r="I48" s="38"/>
      <c r="J48" s="38"/>
      <c r="K48" s="38"/>
      <c r="L48" s="38"/>
      <c r="M48" s="38"/>
      <c r="N48" s="38"/>
      <c r="O48" s="38"/>
      <c r="P48" s="46">
        <f>Annuity!O48</f>
        <v>14595.864829165666</v>
      </c>
      <c r="Q48" s="43">
        <f t="shared" si="5"/>
        <v>14491.603591957326</v>
      </c>
    </row>
    <row r="49" spans="1:17" ht="14.55" customHeight="1" x14ac:dyDescent="0.3">
      <c r="A49" s="42">
        <v>43</v>
      </c>
      <c r="B49" s="45">
        <f>Annuity!B49</f>
        <v>108</v>
      </c>
      <c r="C49" s="46">
        <f>Capital!R49</f>
        <v>6146.0331047077807</v>
      </c>
      <c r="D49" s="46">
        <f>Annuity!Q49</f>
        <v>28867.728692977838</v>
      </c>
      <c r="E49" s="44">
        <f t="shared" si="0"/>
        <v>0.21290324466028468</v>
      </c>
      <c r="F49" s="44">
        <f t="shared" si="1"/>
        <v>0.2394736877393023</v>
      </c>
      <c r="G49" s="43">
        <f t="shared" si="2"/>
        <v>6913.0614467650721</v>
      </c>
      <c r="H49" s="47">
        <f>'Factor method'!J57</f>
        <v>0.27237178247747929</v>
      </c>
      <c r="I49" s="38"/>
      <c r="J49" s="38"/>
      <c r="K49" s="38"/>
      <c r="L49" s="38"/>
      <c r="M49" s="38"/>
      <c r="N49" s="38"/>
      <c r="O49" s="38"/>
      <c r="P49" s="46">
        <f>Annuity!O49</f>
        <v>6147.5380567809707</v>
      </c>
      <c r="Q49" s="43">
        <f t="shared" si="5"/>
        <v>6913.7267683140863</v>
      </c>
    </row>
    <row r="50" spans="1:17" ht="14.55" customHeight="1" x14ac:dyDescent="0.3">
      <c r="A50" s="42">
        <v>44</v>
      </c>
      <c r="B50" s="45">
        <f>Annuity!B50</f>
        <v>109</v>
      </c>
      <c r="C50" s="46">
        <f>Capital!R50</f>
        <v>1702.0010871950412</v>
      </c>
      <c r="D50" s="46">
        <f>Annuity!Q50</f>
        <v>10327.326145308196</v>
      </c>
      <c r="E50" s="44">
        <f t="shared" si="0"/>
        <v>0.16480559084195059</v>
      </c>
      <c r="F50" s="44">
        <f t="shared" si="1"/>
        <v>0.2394736877393023</v>
      </c>
      <c r="G50" s="43">
        <f t="shared" si="2"/>
        <v>2473.1228765034675</v>
      </c>
      <c r="H50" s="47">
        <f>'Factor method'!J58</f>
        <v>0.26443862376454297</v>
      </c>
      <c r="I50" s="38"/>
      <c r="J50" s="38"/>
      <c r="K50" s="38"/>
      <c r="L50" s="38"/>
      <c r="M50" s="38"/>
      <c r="N50" s="38"/>
      <c r="O50" s="38"/>
      <c r="P50" s="46">
        <f>Annuity!O50</f>
        <v>1702.7744619012685</v>
      </c>
      <c r="Q50" s="43">
        <f t="shared" si="5"/>
        <v>2473.3608928954477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4"/>
  <sheetViews>
    <sheetView zoomScaleNormal="100" workbookViewId="0">
      <selection activeCell="D6" sqref="D6:D7"/>
    </sheetView>
  </sheetViews>
  <sheetFormatPr defaultColWidth="8.6640625" defaultRowHeight="14.4" x14ac:dyDescent="0.3"/>
  <cols>
    <col min="1" max="1" width="28" customWidth="1"/>
    <col min="2" max="6" width="18" customWidth="1"/>
  </cols>
  <sheetData>
    <row r="1" spans="1:6" ht="17.399999999999999" x14ac:dyDescent="0.3">
      <c r="A1" s="5" t="s">
        <v>191</v>
      </c>
      <c r="B1" s="6"/>
      <c r="C1" s="6"/>
      <c r="D1" s="6"/>
      <c r="E1" s="6"/>
      <c r="F1" s="6"/>
    </row>
    <row r="2" spans="1:6" x14ac:dyDescent="0.3">
      <c r="A2" s="6" t="s">
        <v>192</v>
      </c>
      <c r="B2" s="6"/>
      <c r="C2" s="6"/>
      <c r="D2" s="6"/>
      <c r="E2" s="6"/>
      <c r="F2" s="6"/>
    </row>
    <row r="3" spans="1:6" x14ac:dyDescent="0.3">
      <c r="A3" s="6"/>
      <c r="B3" s="6"/>
      <c r="C3" s="6"/>
      <c r="D3" s="6"/>
      <c r="E3" s="6"/>
      <c r="F3" s="6"/>
    </row>
    <row r="4" spans="1:6" ht="57.75" customHeight="1" x14ac:dyDescent="0.3">
      <c r="A4" s="8" t="s">
        <v>193</v>
      </c>
      <c r="B4" s="8" t="s">
        <v>194</v>
      </c>
      <c r="C4" s="8" t="s">
        <v>195</v>
      </c>
      <c r="D4" s="8" t="s">
        <v>196</v>
      </c>
      <c r="E4" s="8" t="s">
        <v>197</v>
      </c>
      <c r="F4" s="8" t="s">
        <v>198</v>
      </c>
    </row>
    <row r="5" spans="1:6" x14ac:dyDescent="0.3">
      <c r="A5" s="6" t="s">
        <v>199</v>
      </c>
      <c r="B5" s="9">
        <f>Capital!L6</f>
        <v>4376187.7909199297</v>
      </c>
      <c r="C5" s="9">
        <f>B5/NORMSINV(0.995)</f>
        <v>1698943.2432073625</v>
      </c>
      <c r="D5" s="9">
        <f>RA!B6</f>
        <v>3900670.8314773766</v>
      </c>
      <c r="E5" s="31">
        <f>IF(C5=0,0,D5/C5)</f>
        <v>2.2959394594686202</v>
      </c>
      <c r="F5" s="12">
        <f>NORMSDIST(E5)</f>
        <v>0.98916032842147072</v>
      </c>
    </row>
    <row r="6" spans="1:6" x14ac:dyDescent="0.3">
      <c r="A6" s="6" t="s">
        <v>200</v>
      </c>
      <c r="B6" s="9">
        <f>Capital!M6</f>
        <v>3468958.9954801025</v>
      </c>
      <c r="C6" s="9">
        <f>B6/NORMSINV(0.995)</f>
        <v>1346734.813017569</v>
      </c>
      <c r="D6" s="9">
        <f>RA!E6</f>
        <v>2120324.0839846218</v>
      </c>
      <c r="E6" s="31">
        <f>IF(C6=0,0,D6/C6)</f>
        <v>1.5744184107290622</v>
      </c>
      <c r="F6" s="11">
        <f>NORMSDIST(E6)</f>
        <v>0.94230462486974287</v>
      </c>
    </row>
    <row r="7" spans="1:6" x14ac:dyDescent="0.3">
      <c r="A7" s="6" t="s">
        <v>201</v>
      </c>
      <c r="B7" s="9">
        <f>Capital!N6</f>
        <v>3054434.0365049024</v>
      </c>
      <c r="C7" s="9">
        <f>B7/NORMSINV(0.995)</f>
        <v>1185806.0750751593</v>
      </c>
      <c r="D7" s="9">
        <f>RA!F6</f>
        <v>3343105.3961228123</v>
      </c>
      <c r="E7" s="31">
        <f>IF(C7=0,0,D7/C7)</f>
        <v>2.8192682314525315</v>
      </c>
      <c r="F7" s="11">
        <f>NORMSDIST(E7)</f>
        <v>0.99759333614182855</v>
      </c>
    </row>
    <row r="8" spans="1:6" x14ac:dyDescent="0.3">
      <c r="A8" s="13" t="s">
        <v>202</v>
      </c>
      <c r="B8" s="6"/>
      <c r="C8" s="6"/>
      <c r="D8" s="6"/>
      <c r="E8" s="6"/>
      <c r="F8" s="6"/>
    </row>
    <row r="9" spans="1:6" x14ac:dyDescent="0.3">
      <c r="A9" s="15" t="s">
        <v>203</v>
      </c>
      <c r="B9" s="6"/>
      <c r="C9" s="6"/>
      <c r="D9" s="6"/>
      <c r="E9" s="6"/>
      <c r="F9" s="6"/>
    </row>
    <row r="10" spans="1:6" x14ac:dyDescent="0.3">
      <c r="A10" s="6"/>
      <c r="B10" s="6"/>
      <c r="C10" s="6"/>
      <c r="D10" s="6"/>
      <c r="E10" s="6"/>
      <c r="F10" s="6"/>
    </row>
    <row r="11" spans="1:6" ht="57.75" customHeight="1" x14ac:dyDescent="0.3">
      <c r="A11" s="8"/>
      <c r="B11" s="8"/>
      <c r="C11" s="8" t="s">
        <v>204</v>
      </c>
      <c r="D11" s="8" t="s">
        <v>196</v>
      </c>
      <c r="E11" s="8" t="s">
        <v>197</v>
      </c>
      <c r="F11" s="8" t="s">
        <v>198</v>
      </c>
    </row>
    <row r="12" spans="1:6" x14ac:dyDescent="0.3">
      <c r="A12" s="6" t="s">
        <v>199</v>
      </c>
      <c r="B12" s="6"/>
      <c r="C12" s="9">
        <f>SQRT(SUMPRODUCT((Capital!L6:L50/NORMSINV(0.995))^2,'Factor method'!J14:J58^2))*(1+Inputs!$B$6)</f>
        <v>5267250.0307907034</v>
      </c>
      <c r="D12" s="9">
        <f>RA!B6</f>
        <v>3900670.8314773766</v>
      </c>
      <c r="E12" s="31">
        <f>IF(C12=0,0,D12/C12)</f>
        <v>0.74055167472120553</v>
      </c>
      <c r="F12" s="12">
        <f>NORMSDIST(E12)</f>
        <v>0.7705173408659497</v>
      </c>
    </row>
    <row r="13" spans="1:6" x14ac:dyDescent="0.3">
      <c r="A13" s="6"/>
      <c r="B13" s="6"/>
      <c r="C13" s="6"/>
      <c r="D13" s="6"/>
      <c r="E13" s="6"/>
      <c r="F13" s="6"/>
    </row>
    <row r="14" spans="1:6" x14ac:dyDescent="0.3">
      <c r="A14" s="15" t="s">
        <v>205</v>
      </c>
      <c r="B14" s="6"/>
      <c r="C14" s="6"/>
      <c r="D14" s="6"/>
      <c r="E14" s="6"/>
      <c r="F14" s="6"/>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D31A3-BCC1-4CE8-8679-F554B1D09113}">
  <dimension ref="A1:F15"/>
  <sheetViews>
    <sheetView tabSelected="1" zoomScaleNormal="100" workbookViewId="0">
      <selection activeCell="H12" sqref="H12"/>
    </sheetView>
  </sheetViews>
  <sheetFormatPr defaultColWidth="8.6640625" defaultRowHeight="14.4" x14ac:dyDescent="0.3"/>
  <cols>
    <col min="1" max="1" width="28" customWidth="1"/>
    <col min="2" max="6" width="18" customWidth="1"/>
  </cols>
  <sheetData>
    <row r="1" spans="1:6" ht="17.399999999999999" x14ac:dyDescent="0.3">
      <c r="A1" s="5" t="s">
        <v>216</v>
      </c>
      <c r="B1" s="6"/>
      <c r="C1" s="6"/>
      <c r="D1" s="6"/>
      <c r="E1" s="6"/>
      <c r="F1" s="6"/>
    </row>
    <row r="2" spans="1:6" x14ac:dyDescent="0.3">
      <c r="A2" s="6" t="s">
        <v>217</v>
      </c>
      <c r="B2" s="6"/>
      <c r="C2" s="6"/>
      <c r="D2" s="6"/>
      <c r="E2" s="6"/>
      <c r="F2" s="6"/>
    </row>
    <row r="3" spans="1:6" x14ac:dyDescent="0.3">
      <c r="A3" s="6"/>
      <c r="B3" s="6"/>
      <c r="C3" s="6"/>
      <c r="D3" s="6"/>
      <c r="E3" s="6"/>
      <c r="F3" s="6"/>
    </row>
    <row r="4" spans="1:6" ht="57.75" customHeight="1" x14ac:dyDescent="0.3">
      <c r="A4" s="8" t="s">
        <v>193</v>
      </c>
      <c r="B4" s="8" t="s">
        <v>194</v>
      </c>
      <c r="C4" s="8" t="s">
        <v>195</v>
      </c>
      <c r="D4" s="8" t="s">
        <v>196</v>
      </c>
      <c r="E4" s="8" t="s">
        <v>197</v>
      </c>
      <c r="F4" s="8" t="s">
        <v>198</v>
      </c>
    </row>
    <row r="5" spans="1:6" x14ac:dyDescent="0.3">
      <c r="A5" s="6" t="s">
        <v>199</v>
      </c>
      <c r="B5" s="9">
        <f>Capital!L6</f>
        <v>4376187.7909199297</v>
      </c>
      <c r="C5" s="9">
        <f>B5/NORMSINV(0.995)</f>
        <v>1698943.2432073625</v>
      </c>
      <c r="D5" s="9">
        <f>'Factor method'!H9</f>
        <v>2704841.6202753717</v>
      </c>
      <c r="E5" s="31">
        <f>IF(C5=0,0,D5/C5)</f>
        <v>1.5920729730611933</v>
      </c>
      <c r="F5" s="12">
        <f>NORMSDIST(E5)</f>
        <v>0.94431584549040304</v>
      </c>
    </row>
    <row r="6" spans="1:6" x14ac:dyDescent="0.3">
      <c r="A6" s="6" t="s">
        <v>210</v>
      </c>
      <c r="B6" s="9">
        <f>Capital!U6</f>
        <v>2497051.0698496699</v>
      </c>
      <c r="C6" s="9">
        <f>B6/NORMSINV(0.995)</f>
        <v>969416.36094026431</v>
      </c>
      <c r="D6" s="9">
        <f>'Factor method'!M8</f>
        <v>1349098.3830081641</v>
      </c>
      <c r="E6" s="31">
        <f>IF(C6=0,0,D6/C6)</f>
        <v>1.3916604230814049</v>
      </c>
      <c r="F6" s="11">
        <f>NORMSDIST(E6)</f>
        <v>0.91798737387010254</v>
      </c>
    </row>
    <row r="7" spans="1:6" x14ac:dyDescent="0.3">
      <c r="A7" s="6" t="s">
        <v>211</v>
      </c>
      <c r="B7" s="9">
        <f>Capital!V6</f>
        <v>1879136.7210702598</v>
      </c>
      <c r="C7" s="9">
        <f>B7/NORMSINV(0.995)</f>
        <v>729526.88226709818</v>
      </c>
      <c r="D7" s="9">
        <f>'Factor method'!M9</f>
        <v>1355743.2372672071</v>
      </c>
      <c r="E7" s="31">
        <f>IF(C7=0,0,D7/C7)</f>
        <v>1.8583869494350387</v>
      </c>
      <c r="F7" s="11">
        <f>NORMSDIST(E7)</f>
        <v>0.96844295788850621</v>
      </c>
    </row>
    <row r="8" spans="1:6" x14ac:dyDescent="0.3">
      <c r="A8" s="13" t="s">
        <v>202</v>
      </c>
      <c r="B8" s="6"/>
      <c r="C8" s="6"/>
      <c r="D8" s="6"/>
      <c r="E8" s="6"/>
      <c r="F8" s="6"/>
    </row>
    <row r="9" spans="1:6" x14ac:dyDescent="0.3">
      <c r="A9" s="15" t="s">
        <v>218</v>
      </c>
      <c r="B9" s="6"/>
      <c r="C9" s="6"/>
      <c r="D9" s="6"/>
      <c r="E9" s="6"/>
      <c r="F9" s="6"/>
    </row>
    <row r="10" spans="1:6" x14ac:dyDescent="0.3">
      <c r="A10" s="6"/>
      <c r="B10" s="6"/>
      <c r="C10" s="6"/>
      <c r="D10" s="6"/>
      <c r="E10" s="6"/>
      <c r="F10" s="6"/>
    </row>
    <row r="11" spans="1:6" ht="57.75" customHeight="1" x14ac:dyDescent="0.3">
      <c r="A11" s="8"/>
      <c r="B11" s="8"/>
      <c r="C11" s="8" t="s">
        <v>204</v>
      </c>
      <c r="D11" s="8" t="s">
        <v>196</v>
      </c>
      <c r="E11" s="8" t="s">
        <v>197</v>
      </c>
      <c r="F11" s="8" t="s">
        <v>198</v>
      </c>
    </row>
    <row r="12" spans="1:6" x14ac:dyDescent="0.3">
      <c r="A12" s="6" t="s">
        <v>199</v>
      </c>
      <c r="B12" s="6"/>
      <c r="C12" s="9">
        <f>SQRT(SUMPRODUCT((Capital!L6:L50/NORMSINV(0.995))^2,'Factor method'!J14:J58^2))*(1+Inputs!$B$6)</f>
        <v>5267250.0307907034</v>
      </c>
      <c r="D12" s="9">
        <f>'Factor method'!H9</f>
        <v>2704841.6202753717</v>
      </c>
      <c r="E12" s="31">
        <f>IF(C12=0,0,D12/C12)</f>
        <v>0.51352064254852337</v>
      </c>
      <c r="F12" s="12">
        <f>NORMSDIST(E12)</f>
        <v>0.696206412543249</v>
      </c>
    </row>
    <row r="13" spans="1:6" x14ac:dyDescent="0.3">
      <c r="A13" s="6" t="s">
        <v>244</v>
      </c>
      <c r="B13" s="6"/>
      <c r="C13" s="9">
        <f>C12</f>
        <v>5267250.0307907034</v>
      </c>
      <c r="D13" s="9">
        <f>'Age Bands'!L18</f>
        <v>4045074.7450801544</v>
      </c>
      <c r="E13" s="31">
        <f>IF(C13=0,0,D13/C13)</f>
        <v>0.76796710265013191</v>
      </c>
      <c r="F13" s="12">
        <f>NORMSDIST(E13)</f>
        <v>0.77874663522983578</v>
      </c>
    </row>
    <row r="14" spans="1:6" x14ac:dyDescent="0.3">
      <c r="A14" s="6"/>
      <c r="B14" s="6"/>
      <c r="C14" s="6"/>
      <c r="D14" s="6"/>
      <c r="E14" s="6"/>
      <c r="F14" s="6"/>
    </row>
    <row r="15" spans="1:6" x14ac:dyDescent="0.3">
      <c r="A15" s="15" t="s">
        <v>219</v>
      </c>
      <c r="B15" s="6"/>
      <c r="C15" s="6"/>
      <c r="D15" s="6"/>
      <c r="E15" s="6"/>
      <c r="F15" s="6"/>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Guide</vt:lpstr>
      <vt:lpstr>Summary</vt:lpstr>
      <vt:lpstr>Inputs</vt:lpstr>
      <vt:lpstr>Term</vt:lpstr>
      <vt:lpstr>Annuity</vt:lpstr>
      <vt:lpstr>Capital</vt:lpstr>
      <vt:lpstr>RA</vt:lpstr>
      <vt:lpstr>Factor method</vt:lpstr>
      <vt:lpstr>Age Bands</vt:lpstr>
      <vt:lpstr>Confidence</vt:lpstr>
      <vt:lpstr>Confidence Factor method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Karan Arora</cp:lastModifiedBy>
  <cp:revision>0</cp:revision>
  <dcterms:created xsi:type="dcterms:W3CDTF">2026-10-24T09:09:56Z</dcterms:created>
  <dcterms:modified xsi:type="dcterms:W3CDTF">2026-10-28T18:06:25Z</dcterms:modified>
  <dc:language>en-US</dc:language>
</cp:coreProperties>
</file>